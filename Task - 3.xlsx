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F404A64E-62F7-4355-B833-B30B3863AD1D}" xr6:coauthVersionLast="47" xr6:coauthVersionMax="47" xr10:uidLastSave="{00000000-0000-0000-0000-000000000000}"/>
  <bookViews>
    <workbookView xWindow="-120" yWindow="-120" windowWidth="20730" windowHeight="11160" activeTab="1" xr2:uid="{3938FFF9-804E-4F8E-A02B-7C3C627B7E2D}"/>
  </bookViews>
  <sheets>
    <sheet name="employee details" sheetId="2" r:id="rId1"/>
    <sheet name="Excel basic formulas Part-1" sheetId="3" r:id="rId2"/>
  </sheets>
  <definedNames>
    <definedName name="ExternalData_1" localSheetId="0" hidden="1">'employee details'!$A$1:$I$151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3" l="1"/>
  <c r="I10" i="3"/>
  <c r="I9" i="3"/>
  <c r="I8" i="3"/>
  <c r="I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52C827-B889-40D1-BE5D-C90EC9D7A24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<sst xmlns="http://schemas.openxmlformats.org/spreadsheetml/2006/main" count="827" uniqueCount="294">
  <si>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</si>
  <si>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</si>
  <si>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</si>
  <si>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</si>
  <si>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</si>
  <si>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</si>
  <si>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</si>
  <si>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</si>
  <si>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</si>
  <si>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</si>
  <si>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</si>
  <si>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</si>
  <si>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</si>
  <si>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</si>
  <si>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</si>
  <si>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</si>
  <si>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</si>
  <si>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</si>
  <si>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</si>
  <si>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</si>
  <si>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</si>
  <si>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</si>
  <si>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</si>
  <si>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</si>
  <si>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</si>
  <si>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</si>
  <si>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</si>
  <si>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</si>
  <si>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</si>
  <si>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</si>
  <si>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</si>
  <si>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</si>
  <si>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</si>
  <si>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</si>
  <si>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</si>
  <si>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</si>
  <si>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</si>
  <si>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</si>
  <si>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</si>
  <si>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</si>
  <si>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</si>
  <si>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</si>
  <si>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</si>
  <si>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</si>
  <si>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</si>
  <si>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</si>
  <si>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</si>
  <si>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</si>
  <si>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</si>
  <si>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</si>
  <si>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</si>
  <si>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</si>
  <si>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</si>
  <si>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</si>
  <si>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</si>
  <si>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</si>
  <si>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</si>
  <si>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</si>
  <si>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</si>
  <si>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</si>
  <si>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</si>
  <si>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</si>
  <si>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</si>
  <si>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</si>
  <si>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</si>
  <si>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</si>
  <si>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</si>
  <si>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</si>
  <si>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</si>
  <si>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</si>
  <si>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</si>
  <si>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</si>
  <si>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</si>
  <si>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</si>
  <si>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</si>
  <si>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</si>
  <si>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</si>
  <si>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</si>
  <si>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</si>
  <si>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</si>
  <si>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</si>
  <si>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</si>
  <si>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</si>
  <si>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</si>
  <si>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</si>
  <si>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</si>
  <si>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</si>
  <si>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</si>
  <si>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</si>
  <si>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</si>
  <si>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</si>
  <si>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</si>
  <si>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</si>
  <si>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</si>
  <si>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</si>
  <si>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</si>
  <si>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</si>
  <si>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</si>
  <si>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</si>
  <si>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</si>
  <si>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</si>
  <si>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</si>
  <si>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</si>
  <si>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</si>
  <si>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</si>
  <si>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</si>
  <si>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</si>
  <si>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</si>
  <si>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</si>
  <si>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</si>
  <si>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</si>
  <si>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</si>
  <si>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</si>
  <si>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</si>
  <si>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</si>
  <si>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</si>
  <si>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</si>
  <si>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</si>
  <si>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</si>
  <si>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</si>
  <si>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</si>
  <si>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</si>
  <si>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</si>
  <si>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</si>
  <si>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</si>
  <si>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</si>
  <si>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</si>
  <si>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</si>
  <si>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</si>
  <si>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</si>
  <si>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</si>
  <si>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</si>
  <si>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</si>
  <si>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</si>
  <si>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</si>
  <si>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</si>
  <si>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</si>
  <si>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</si>
  <si>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</si>
  <si>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</si>
  <si>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</si>
  <si>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</si>
  <si>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</si>
  <si>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</si>
  <si>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</si>
  <si>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</si>
  <si>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</si>
  <si>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</si>
  <si>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</si>
  <si>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</si>
  <si>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</si>
  <si>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</si>
  <si>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</si>
  <si>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</si>
  <si>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</si>
  <si>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</si>
  <si>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</si>
  <si>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</si>
  <si>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</si>
  <si>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</si>
  <si>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</si>
  <si>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</si>
  <si>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</si>
  <si>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</si>
  <si>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</si>
  <si>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</si>
  <si>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</si>
  <si>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</si>
  <si>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</si>
  <si>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</si>
  <si>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</si>
  <si>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</si>
  <si>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</si>
  <si>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</si>
  <si>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</si>
  <si>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</si>
  <si>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</si>
  <si>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</si>
  <si>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</si>
  <si>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</si>
  <si>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</si>
  <si>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</si>
  <si>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</si>
  <si>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</si>
  <si>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</si>
  <si>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</si>
  <si>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</si>
  <si>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</si>
  <si>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</si>
  <si>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</si>
  <si>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</si>
  <si>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</si>
  <si>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</si>
  <si>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</si>
  <si>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</si>
  <si>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</si>
  <si>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</si>
  <si>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</si>
  <si>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</si>
  <si>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</si>
  <si>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</si>
  <si>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</si>
  <si>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</si>
  <si>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</si>
  <si>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</si>
  <si>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</si>
  <si>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</si>
  <si>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</si>
  <si>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</si>
  <si>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</si>
  <si>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</si>
  <si>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</si>
  <si>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</si>
  <si>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</si>
  <si>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</si>
  <si>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</si>
  <si>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</si>
  <si>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</si>
  <si>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</si>
  <si>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</si>
  <si>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</si>
  <si>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</si>
  <si>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</si>
  <si>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</si>
  <si>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</si>
  <si>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</si>
  <si>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</si>
  <si>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</si>
  <si>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</si>
  <si>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</si>
  <si>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</si>
  <si>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</si>
  <si>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</si>
  <si>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</si>
  <si>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</si>
  <si>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</si>
  <si>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</si>
  <si>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</si>
  <si>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</si>
  <si>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</si>
  <si>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</si>
  <si>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</si>
  <si>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</si>
  <si>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</si>
  <si>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</si>
  <si>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</si>
  <si>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</si>
  <si>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</si>
  <si>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</si>
  <si>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</si>
  <si>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</si>
  <si>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</si>
  <si>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</si>
  <si>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</si>
  <si>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</si>
  <si>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</si>
  <si>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</si>
  <si>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</si>
  <si>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</si>
  <si>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</si>
  <si>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</si>
  <si>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</si>
  <si>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</si>
  <si>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</si>
  <si>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</si>
  <si>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</si>
  <si>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</si>
  <si>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</si>
  <si>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</si>
  <si>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</si>
  <si>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</si>
  <si>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</si>
  <si>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</si>
  <si>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</si>
  <si>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</si>
  <si>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</si>
  <si>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</si>
  <si>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</si>
  <si>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</si>
  <si>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</si>
  <si>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</si>
  <si>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Task 3</t>
  </si>
  <si>
    <t>Basic excel formulas Part 1</t>
  </si>
  <si>
    <t>sum()</t>
  </si>
  <si>
    <t>average()</t>
  </si>
  <si>
    <t>count()</t>
  </si>
  <si>
    <t>min()</t>
  </si>
  <si>
    <t>max()</t>
  </si>
  <si>
    <t>Total salary provided</t>
  </si>
  <si>
    <t>Average of the provided salary</t>
  </si>
  <si>
    <t>Count of the salaried persons</t>
  </si>
  <si>
    <t>Minimum salary given</t>
  </si>
  <si>
    <t>Maximum salary given</t>
  </si>
  <si>
    <r>
      <rPr>
        <sz val="14"/>
        <color theme="1"/>
        <rFont val="Times New Roman"/>
        <family val="1"/>
      </rPr>
      <t>I have chosen the employee performance details dataset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</si>
</sst>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 &quot;₹&quot;\ * #,##0.00_ ;_ &quot;₹&quot;\ * \-#,##0.00_ ;_ &quot;₹&quot;\ * &quot;-&quot;??_ ;_ @_ 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8"/>
      <name val="Calibri"/>
      <family val="2"/>
      <scheme val="minor"/>
    </font>
    <font>
      <sz val="13.95"/>
      <color rgb="FF000000"/>
      <name val="Arial"/>
      <family val="2"/>
    </font>
    <font>
      <sz val="14"/>
      <color theme="1"/>
      <name val="Times New Roman"/>
      <family val="1"/>
    </font>
    <font>
      <sz val="11"/>
      <color theme="1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/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44" fontId="2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44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13">
    <dxf>
      <font>
        <color rgb="FFFFFF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BB39D6A-38F8-4232-857C-B0D4E336DC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E70C6F-F38E-4C74-9E17-B5D220CC033B}" autoFormatId="16" applyNumberFormats="0" applyBorderFormats="0" applyFontFormats="0" applyPatternFormats="0" applyAlignmentFormats="0" applyWidthHeightFormats="0">
  <queryTableRefresh nextId="12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23408-5B88-43B7-90A5-C39C7072D581}" name="Sheet1" displayName="Sheet1" ref="A1:I152" tableType="queryTable" totalsRowCount="1">
  <autoFilter ref="A1:I151" xr:uid="{B5D23408-5B88-43B7-90A5-C39C7072D581}"/>
  <tableColumns count="9">
    <tableColumn id="1" xr3:uid="{40F687EC-86D8-44D1-BBC8-502EC05208CB}" uniqueName="1" name="Employee ID" queryTableFieldId="1" dataDxfId="12" totalsRowDxfId="11"/>
    <tableColumn id="2" xr3:uid="{51BBBA46-7ED9-48F9-A806-D1530A67F88E}" uniqueName="2" name="Name" queryTableFieldId="2" dataDxfId="10" totalsRowDxfId="9"/>
    <tableColumn id="3" xr3:uid="{9B12A76C-411C-4634-A249-E17DAC6ECEA6}" uniqueName="3" name="Department" queryTableFieldId="3" dataDxfId="8" totalsRowDxfId="7"/>
    <tableColumn id="4" xr3:uid="{CF4B2D71-3D16-41AC-ABCC-15D69949B291}" uniqueName="4" name="Country" queryTableFieldId="4" dataDxfId="6" totalsRowDxfId="5"/>
    <tableColumn id="5" xr3:uid="{DFF0FA0F-516D-43B8-9988-18D7C25F508D}" uniqueName="5" name="Salary" queryTableFieldId="5"/>
    <tableColumn id="6" xr3:uid="{9C27655F-CB26-4C7A-A428-51B6FA2C5354}" uniqueName="6" name="Date of Joining" queryTableFieldId="6"/>
    <tableColumn id="7" xr3:uid="{0CD82C20-E914-4487-B35F-8D892604E220}" uniqueName="7" name="Performance Rating" queryTableFieldId="7"/>
    <tableColumn id="8" xr3:uid="{A7C5E03B-ACA0-4F66-9488-C0440AD95DCB}" uniqueName="8" name="Gender" queryTableFieldId="8" dataDxfId="4" totalsRowDxfId="3"/>
    <tableColumn id="9" xr3:uid="{367B19E6-F4FA-4519-A9F6-8EDDA11BAA23}" uniqueName="9" name="Email" queryTableFieldId="9" dataDxfId="2" totalsRow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2561-E603-4739-AE0F-2E4E970631E9}">
  <dimension ref="A1:I151"/>
  <sheetViews>
    <sheetView topLeftCell="A136" workbookViewId="0">
      <selection activeCell="J52" sqref="J52"/>
    </sheetView>
  </sheetViews>
  <sheetFormatPr defaultRowHeight="15" x14ac:dyDescent="0.25"/>
  <cols>
    <col min="1" max="1" width="14.42578125" bestFit="1" customWidth="1"/>
    <col min="2" max="2" width="12.140625" style="1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5703125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25">
      <c r="A3" t="s">
        <v>15</v>
      </c>
      <c r="B3" s="1" t="s">
        <v>16</v>
      </c>
      <c r="C3" t="s">
        <v>17</v>
      </c>
      <c r="D3" t="s">
        <v>18</v>
      </c>
      <c r="E3">
        <v>54255</v>
      </c>
      <c r="F3">
        <v>42015</v>
      </c>
      <c r="G3">
        <v>1</v>
      </c>
      <c r="H3" t="s">
        <v>19</v>
      </c>
      <c r="I3" t="s">
        <v>20</v>
      </c>
    </row>
    <row r="4" spans="1:9" x14ac:dyDescent="0.25">
      <c r="A4" t="s">
        <v>21</v>
      </c>
      <c r="B4" s="1" t="s">
        <v>22</v>
      </c>
      <c r="C4" t="s">
        <v>10</v>
      </c>
      <c r="D4" t="s">
        <v>18</v>
      </c>
      <c r="E4">
        <v>63184</v>
      </c>
      <c r="F4">
        <v>42022</v>
      </c>
      <c r="G4">
        <v>2</v>
      </c>
      <c r="I4" t="s">
        <v>23</v>
      </c>
    </row>
    <row r="5" spans="1:9" x14ac:dyDescent="0.25">
      <c r="A5" t="s">
        <v>24</v>
      </c>
      <c r="B5" s="1" t="s">
        <v>25</v>
      </c>
      <c r="C5" t="s">
        <v>26</v>
      </c>
      <c r="D5" t="s">
        <v>27</v>
      </c>
      <c r="E5">
        <v>94406</v>
      </c>
      <c r="F5">
        <v>42029</v>
      </c>
      <c r="G5">
        <v>1</v>
      </c>
      <c r="H5" t="s">
        <v>28</v>
      </c>
      <c r="I5" t="s">
        <v>29</v>
      </c>
    </row>
    <row r="6" spans="1:9" x14ac:dyDescent="0.25">
      <c r="A6" t="s">
        <v>30</v>
      </c>
      <c r="B6" s="1" t="s">
        <v>31</v>
      </c>
      <c r="C6" t="s">
        <v>26</v>
      </c>
      <c r="D6" t="s">
        <v>18</v>
      </c>
      <c r="E6">
        <v>64120</v>
      </c>
      <c r="F6">
        <v>42036</v>
      </c>
      <c r="G6">
        <v>1</v>
      </c>
      <c r="H6" t="s">
        <v>28</v>
      </c>
      <c r="I6" t="s">
        <v>32</v>
      </c>
    </row>
    <row r="7" spans="1:9" x14ac:dyDescent="0.25">
      <c r="A7" t="s">
        <v>33</v>
      </c>
      <c r="B7" s="1" t="s">
        <v>22</v>
      </c>
      <c r="C7" t="s">
        <v>34</v>
      </c>
      <c r="D7" t="s">
        <v>35</v>
      </c>
      <c r="E7">
        <v>78421</v>
      </c>
      <c r="F7">
        <v>42043</v>
      </c>
      <c r="G7">
        <v>2</v>
      </c>
      <c r="H7" t="s">
        <v>36</v>
      </c>
      <c r="I7" t="s">
        <v>37</v>
      </c>
    </row>
    <row r="8" spans="1:9" x14ac:dyDescent="0.25">
      <c r="A8" t="s">
        <v>38</v>
      </c>
      <c r="B8" s="1" t="s">
        <v>39</v>
      </c>
      <c r="C8" t="s">
        <v>26</v>
      </c>
      <c r="E8">
        <v>67721</v>
      </c>
      <c r="F8">
        <v>42050</v>
      </c>
      <c r="H8" t="s">
        <v>28</v>
      </c>
      <c r="I8" t="s">
        <v>29</v>
      </c>
    </row>
    <row r="9" spans="1:9" x14ac:dyDescent="0.25">
      <c r="A9" t="s">
        <v>40</v>
      </c>
      <c r="B9" s="1" t="s">
        <v>41</v>
      </c>
      <c r="C9" t="s">
        <v>42</v>
      </c>
      <c r="E9">
        <v>35364</v>
      </c>
      <c r="F9">
        <v>42057</v>
      </c>
      <c r="G9">
        <v>2</v>
      </c>
      <c r="H9" t="s">
        <v>19</v>
      </c>
      <c r="I9" t="s">
        <v>43</v>
      </c>
    </row>
    <row r="10" spans="1:9" x14ac:dyDescent="0.25">
      <c r="A10" t="s">
        <v>44</v>
      </c>
      <c r="B10" s="1" t="s">
        <v>22</v>
      </c>
      <c r="C10" t="s">
        <v>34</v>
      </c>
      <c r="D10" t="s">
        <v>18</v>
      </c>
      <c r="E10">
        <v>97881</v>
      </c>
      <c r="F10">
        <v>42064</v>
      </c>
      <c r="H10" t="s">
        <v>36</v>
      </c>
      <c r="I10" t="s">
        <v>45</v>
      </c>
    </row>
    <row r="11" spans="1:9" x14ac:dyDescent="0.25">
      <c r="A11" t="s">
        <v>46</v>
      </c>
      <c r="B11" s="1" t="s">
        <v>41</v>
      </c>
      <c r="C11" t="s">
        <v>17</v>
      </c>
      <c r="D11" t="s">
        <v>47</v>
      </c>
      <c r="E11">
        <v>91846</v>
      </c>
      <c r="F11">
        <v>42071</v>
      </c>
      <c r="H11" t="s">
        <v>28</v>
      </c>
      <c r="I11" t="s">
        <v>48</v>
      </c>
    </row>
    <row r="12" spans="1:9" x14ac:dyDescent="0.25">
      <c r="A12" t="s">
        <v>49</v>
      </c>
      <c r="B12" s="1" t="s">
        <v>39</v>
      </c>
      <c r="C12" t="s">
        <v>10</v>
      </c>
      <c r="D12" t="s">
        <v>47</v>
      </c>
      <c r="E12">
        <v>64247</v>
      </c>
      <c r="F12">
        <v>42078</v>
      </c>
      <c r="G12">
        <v>1</v>
      </c>
      <c r="H12" t="s">
        <v>36</v>
      </c>
      <c r="I12" t="s">
        <v>50</v>
      </c>
    </row>
    <row r="13" spans="1:9" x14ac:dyDescent="0.25">
      <c r="A13" t="s">
        <v>51</v>
      </c>
      <c r="B13" s="1" t="s">
        <v>39</v>
      </c>
      <c r="C13" t="s">
        <v>34</v>
      </c>
      <c r="D13" t="s">
        <v>27</v>
      </c>
      <c r="E13">
        <v>91180</v>
      </c>
      <c r="F13">
        <v>42085</v>
      </c>
      <c r="G13">
        <v>5</v>
      </c>
      <c r="H13" t="s">
        <v>28</v>
      </c>
      <c r="I13" t="s">
        <v>52</v>
      </c>
    </row>
    <row r="14" spans="1:9" x14ac:dyDescent="0.25">
      <c r="A14" t="s">
        <v>53</v>
      </c>
      <c r="B14" s="1" t="s">
        <v>54</v>
      </c>
      <c r="C14" t="s">
        <v>26</v>
      </c>
      <c r="E14">
        <v>96418</v>
      </c>
      <c r="F14">
        <v>42092</v>
      </c>
      <c r="G14">
        <v>5</v>
      </c>
      <c r="H14" t="s">
        <v>28</v>
      </c>
      <c r="I14" t="s">
        <v>20</v>
      </c>
    </row>
    <row r="15" spans="1:9" x14ac:dyDescent="0.25">
      <c r="A15" t="s">
        <v>55</v>
      </c>
      <c r="B15" s="1" t="s">
        <v>39</v>
      </c>
      <c r="D15" t="s">
        <v>35</v>
      </c>
      <c r="E15">
        <v>62158</v>
      </c>
      <c r="F15">
        <v>42099</v>
      </c>
      <c r="G15">
        <v>4</v>
      </c>
      <c r="I15" t="s">
        <v>56</v>
      </c>
    </row>
    <row r="16" spans="1:9" x14ac:dyDescent="0.25">
      <c r="A16" t="s">
        <v>57</v>
      </c>
      <c r="B16" s="1" t="s">
        <v>31</v>
      </c>
      <c r="C16" t="s">
        <v>17</v>
      </c>
      <c r="E16">
        <v>59894</v>
      </c>
      <c r="F16">
        <v>42106</v>
      </c>
      <c r="G16">
        <v>2</v>
      </c>
      <c r="H16" t="s">
        <v>28</v>
      </c>
      <c r="I16" t="s">
        <v>58</v>
      </c>
    </row>
    <row r="17" spans="1:9" x14ac:dyDescent="0.25">
      <c r="A17" t="s">
        <v>59</v>
      </c>
      <c r="C17" t="s">
        <v>34</v>
      </c>
      <c r="D17" t="s">
        <v>35</v>
      </c>
      <c r="E17">
        <v>92443</v>
      </c>
      <c r="F17">
        <v>42113</v>
      </c>
      <c r="G17">
        <v>3</v>
      </c>
      <c r="H17" t="s">
        <v>19</v>
      </c>
      <c r="I17" t="s">
        <v>60</v>
      </c>
    </row>
    <row r="18" spans="1:9" x14ac:dyDescent="0.25">
      <c r="A18" t="s">
        <v>61</v>
      </c>
      <c r="B18" s="1" t="s">
        <v>54</v>
      </c>
      <c r="D18" t="s">
        <v>18</v>
      </c>
      <c r="E18">
        <v>90271</v>
      </c>
      <c r="F18">
        <v>42120</v>
      </c>
      <c r="I18" t="s">
        <v>62</v>
      </c>
    </row>
    <row r="19" spans="1:9" x14ac:dyDescent="0.25">
      <c r="A19" t="s">
        <v>63</v>
      </c>
      <c r="B19" s="1" t="s">
        <v>31</v>
      </c>
      <c r="C19" t="s">
        <v>10</v>
      </c>
      <c r="D19" t="s">
        <v>64</v>
      </c>
      <c r="E19">
        <v>41341</v>
      </c>
      <c r="F19">
        <v>42127</v>
      </c>
      <c r="G19">
        <v>1</v>
      </c>
      <c r="H19" t="s">
        <v>19</v>
      </c>
      <c r="I19" t="s">
        <v>65</v>
      </c>
    </row>
    <row r="20" spans="1:9" x14ac:dyDescent="0.25">
      <c r="A20" t="s">
        <v>66</v>
      </c>
      <c r="B20" s="1" t="s">
        <v>22</v>
      </c>
      <c r="C20" t="s">
        <v>10</v>
      </c>
      <c r="D20" t="s">
        <v>47</v>
      </c>
      <c r="E20">
        <v>73602</v>
      </c>
      <c r="F20">
        <v>42134</v>
      </c>
      <c r="I20" t="s">
        <v>67</v>
      </c>
    </row>
    <row r="21" spans="1:9" x14ac:dyDescent="0.25">
      <c r="A21" t="s">
        <v>68</v>
      </c>
      <c r="B21" s="1" t="s">
        <v>16</v>
      </c>
      <c r="D21" t="s">
        <v>35</v>
      </c>
      <c r="E21">
        <v>67531</v>
      </c>
      <c r="F21">
        <v>42141</v>
      </c>
      <c r="G21">
        <v>5</v>
      </c>
      <c r="H21" t="s">
        <v>36</v>
      </c>
      <c r="I21" t="s">
        <v>69</v>
      </c>
    </row>
    <row r="22" spans="1:9" x14ac:dyDescent="0.25">
      <c r="A22" t="s">
        <v>70</v>
      </c>
      <c r="B22" s="1" t="s">
        <v>31</v>
      </c>
      <c r="C22" t="s">
        <v>17</v>
      </c>
      <c r="D22" t="s">
        <v>27</v>
      </c>
      <c r="E22" t="s">
        <v>12</v>
      </c>
      <c r="F22">
        <v>42148</v>
      </c>
      <c r="G22">
        <v>2</v>
      </c>
      <c r="H22" t="s">
        <v>19</v>
      </c>
      <c r="I22" t="s">
        <v>71</v>
      </c>
    </row>
    <row r="23" spans="1:9" x14ac:dyDescent="0.25">
      <c r="A23" t="s">
        <v>72</v>
      </c>
      <c r="B23" s="1" t="s">
        <v>31</v>
      </c>
      <c r="C23" t="s">
        <v>17</v>
      </c>
      <c r="E23">
        <v>98922</v>
      </c>
      <c r="F23">
        <v>42155</v>
      </c>
      <c r="G23">
        <v>4</v>
      </c>
      <c r="I23" t="s">
        <v>73</v>
      </c>
    </row>
    <row r="24" spans="1:9" x14ac:dyDescent="0.25">
      <c r="A24" t="s">
        <v>74</v>
      </c>
      <c r="B24" s="1" t="s">
        <v>16</v>
      </c>
      <c r="C24" t="s">
        <v>10</v>
      </c>
      <c r="D24" t="s">
        <v>35</v>
      </c>
      <c r="E24">
        <v>38333</v>
      </c>
      <c r="F24">
        <v>42162</v>
      </c>
      <c r="G24">
        <v>5</v>
      </c>
      <c r="I24" t="s">
        <v>75</v>
      </c>
    </row>
    <row r="25" spans="1:9" x14ac:dyDescent="0.25">
      <c r="A25" t="s">
        <v>76</v>
      </c>
      <c r="B25" s="1" t="s">
        <v>22</v>
      </c>
      <c r="C25" t="s">
        <v>42</v>
      </c>
      <c r="D25" t="s">
        <v>47</v>
      </c>
      <c r="E25">
        <v>36515</v>
      </c>
      <c r="F25">
        <v>42169</v>
      </c>
      <c r="G25">
        <v>3</v>
      </c>
      <c r="H25" t="s">
        <v>28</v>
      </c>
      <c r="I25" t="s">
        <v>77</v>
      </c>
    </row>
    <row r="26" spans="1:9" x14ac:dyDescent="0.25">
      <c r="A26" t="s">
        <v>78</v>
      </c>
      <c r="B26" s="1" t="s">
        <v>39</v>
      </c>
      <c r="C26" t="s">
        <v>10</v>
      </c>
      <c r="E26">
        <v>91005</v>
      </c>
      <c r="F26">
        <v>42176</v>
      </c>
      <c r="G26">
        <v>1</v>
      </c>
      <c r="H26" t="s">
        <v>19</v>
      </c>
      <c r="I26" t="s">
        <v>79</v>
      </c>
    </row>
    <row r="27" spans="1:9" x14ac:dyDescent="0.25">
      <c r="A27" t="s">
        <v>80</v>
      </c>
      <c r="B27" s="1" t="s">
        <v>41</v>
      </c>
      <c r="D27" t="s">
        <v>11</v>
      </c>
      <c r="E27">
        <v>52272</v>
      </c>
      <c r="F27">
        <v>42183</v>
      </c>
      <c r="G27">
        <v>3</v>
      </c>
      <c r="I27" t="s">
        <v>81</v>
      </c>
    </row>
    <row r="28" spans="1:9" x14ac:dyDescent="0.25">
      <c r="A28" t="s">
        <v>82</v>
      </c>
      <c r="B28" s="1" t="s">
        <v>16</v>
      </c>
      <c r="C28" t="s">
        <v>26</v>
      </c>
      <c r="D28" t="s">
        <v>18</v>
      </c>
      <c r="E28">
        <v>76518</v>
      </c>
      <c r="F28">
        <v>42190</v>
      </c>
      <c r="G28">
        <v>2</v>
      </c>
      <c r="H28" t="s">
        <v>36</v>
      </c>
      <c r="I28" t="s">
        <v>83</v>
      </c>
    </row>
    <row r="29" spans="1:9" x14ac:dyDescent="0.25">
      <c r="A29" t="s">
        <v>84</v>
      </c>
      <c r="B29" s="1" t="s">
        <v>22</v>
      </c>
      <c r="C29" t="s">
        <v>34</v>
      </c>
      <c r="D29" t="s">
        <v>47</v>
      </c>
      <c r="E29">
        <v>41448</v>
      </c>
      <c r="F29">
        <v>42197</v>
      </c>
      <c r="G29">
        <v>3</v>
      </c>
      <c r="H29" t="s">
        <v>19</v>
      </c>
      <c r="I29" t="s">
        <v>85</v>
      </c>
    </row>
    <row r="30" spans="1:9" x14ac:dyDescent="0.25">
      <c r="A30" t="s">
        <v>86</v>
      </c>
      <c r="B30" s="1" t="s">
        <v>25</v>
      </c>
      <c r="C30" t="s">
        <v>17</v>
      </c>
      <c r="D30" t="s">
        <v>47</v>
      </c>
      <c r="E30">
        <v>49282</v>
      </c>
      <c r="F30">
        <v>42204</v>
      </c>
      <c r="G30">
        <v>2</v>
      </c>
      <c r="H30" t="s">
        <v>36</v>
      </c>
      <c r="I30" t="s">
        <v>87</v>
      </c>
    </row>
    <row r="31" spans="1:9" x14ac:dyDescent="0.25">
      <c r="A31" t="s">
        <v>88</v>
      </c>
      <c r="B31" s="1" t="s">
        <v>54</v>
      </c>
      <c r="C31" t="s">
        <v>42</v>
      </c>
      <c r="D31" t="s">
        <v>47</v>
      </c>
      <c r="E31">
        <v>92959</v>
      </c>
      <c r="F31">
        <v>42211</v>
      </c>
      <c r="G31">
        <v>5</v>
      </c>
      <c r="I31" t="s">
        <v>89</v>
      </c>
    </row>
    <row r="32" spans="1:9" x14ac:dyDescent="0.2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25">
      <c r="A33" t="s">
        <v>92</v>
      </c>
      <c r="B33" s="1" t="s">
        <v>16</v>
      </c>
      <c r="C33" t="s">
        <v>17</v>
      </c>
      <c r="D33" t="s">
        <v>18</v>
      </c>
      <c r="E33">
        <v>92299</v>
      </c>
      <c r="F33">
        <v>42225</v>
      </c>
      <c r="G33">
        <v>3</v>
      </c>
      <c r="H33" t="s">
        <v>28</v>
      </c>
      <c r="I33" t="s">
        <v>93</v>
      </c>
    </row>
    <row r="34" spans="1:9" x14ac:dyDescent="0.25">
      <c r="A34" t="s">
        <v>94</v>
      </c>
      <c r="B34" s="1" t="s">
        <v>39</v>
      </c>
      <c r="C34" t="s">
        <v>17</v>
      </c>
      <c r="E34">
        <v>95586</v>
      </c>
      <c r="F34">
        <v>42232</v>
      </c>
      <c r="G34">
        <v>3</v>
      </c>
      <c r="H34" t="s">
        <v>19</v>
      </c>
      <c r="I34" t="s">
        <v>95</v>
      </c>
    </row>
    <row r="35" spans="1:9" x14ac:dyDescent="0.25">
      <c r="A35" t="s">
        <v>96</v>
      </c>
      <c r="B35" s="1" t="s">
        <v>41</v>
      </c>
      <c r="D35" t="s">
        <v>27</v>
      </c>
      <c r="E35">
        <v>95367</v>
      </c>
      <c r="F35">
        <v>42239</v>
      </c>
      <c r="H35" t="s">
        <v>28</v>
      </c>
      <c r="I35" t="s">
        <v>97</v>
      </c>
    </row>
    <row r="36" spans="1:9" x14ac:dyDescent="0.25">
      <c r="A36" t="s">
        <v>98</v>
      </c>
      <c r="B36" s="1" t="s">
        <v>25</v>
      </c>
      <c r="C36" t="s">
        <v>26</v>
      </c>
      <c r="D36" t="s">
        <v>64</v>
      </c>
      <c r="E36">
        <v>79549</v>
      </c>
      <c r="F36">
        <v>42246</v>
      </c>
      <c r="G36">
        <v>3</v>
      </c>
      <c r="I36" t="s">
        <v>99</v>
      </c>
    </row>
    <row r="37" spans="1:9" x14ac:dyDescent="0.25">
      <c r="A37" t="s">
        <v>100</v>
      </c>
      <c r="B37" s="1" t="s">
        <v>22</v>
      </c>
      <c r="D37" t="s">
        <v>47</v>
      </c>
      <c r="E37">
        <v>54463</v>
      </c>
      <c r="F37">
        <v>42253</v>
      </c>
      <c r="G37">
        <v>4</v>
      </c>
      <c r="H37" t="s">
        <v>28</v>
      </c>
      <c r="I37" t="s">
        <v>14</v>
      </c>
    </row>
    <row r="38" spans="1:9" x14ac:dyDescent="0.25">
      <c r="A38" t="s">
        <v>101</v>
      </c>
      <c r="B38" s="1" t="s">
        <v>22</v>
      </c>
      <c r="C38" t="s">
        <v>34</v>
      </c>
      <c r="D38" t="s">
        <v>27</v>
      </c>
      <c r="E38">
        <v>89781</v>
      </c>
      <c r="F38">
        <v>42260</v>
      </c>
      <c r="H38" t="s">
        <v>36</v>
      </c>
      <c r="I38" t="s">
        <v>102</v>
      </c>
    </row>
    <row r="39" spans="1:9" x14ac:dyDescent="0.25">
      <c r="A39" t="s">
        <v>103</v>
      </c>
      <c r="B39" s="1" t="s">
        <v>22</v>
      </c>
      <c r="C39" t="s">
        <v>17</v>
      </c>
      <c r="E39">
        <v>64796</v>
      </c>
      <c r="F39">
        <v>42267</v>
      </c>
      <c r="H39" t="s">
        <v>19</v>
      </c>
      <c r="I39" t="s">
        <v>104</v>
      </c>
    </row>
    <row r="40" spans="1:9" x14ac:dyDescent="0.25">
      <c r="A40" t="s">
        <v>105</v>
      </c>
      <c r="B40" s="1" t="s">
        <v>25</v>
      </c>
      <c r="C40" t="s">
        <v>42</v>
      </c>
      <c r="D40" t="s">
        <v>47</v>
      </c>
      <c r="E40">
        <v>52093</v>
      </c>
      <c r="F40">
        <v>42274</v>
      </c>
      <c r="G40">
        <v>5</v>
      </c>
      <c r="I40" t="s">
        <v>106</v>
      </c>
    </row>
    <row r="41" spans="1:9" x14ac:dyDescent="0.25">
      <c r="A41" t="s">
        <v>107</v>
      </c>
      <c r="B41" s="1" t="s">
        <v>41</v>
      </c>
      <c r="C41" t="s">
        <v>17</v>
      </c>
      <c r="D41" t="s">
        <v>47</v>
      </c>
      <c r="E41">
        <v>48224</v>
      </c>
      <c r="F41">
        <v>42281</v>
      </c>
      <c r="G41">
        <v>3</v>
      </c>
      <c r="I41" t="s">
        <v>108</v>
      </c>
    </row>
    <row r="42" spans="1:9" x14ac:dyDescent="0.25">
      <c r="A42" t="s">
        <v>109</v>
      </c>
      <c r="B42" s="1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25">
      <c r="A43" t="s">
        <v>111</v>
      </c>
      <c r="B43" s="1" t="s">
        <v>22</v>
      </c>
      <c r="C43" t="s">
        <v>34</v>
      </c>
      <c r="D43" t="s">
        <v>18</v>
      </c>
      <c r="E43">
        <v>33956</v>
      </c>
      <c r="F43">
        <v>42295</v>
      </c>
      <c r="I43" t="s">
        <v>112</v>
      </c>
    </row>
    <row r="44" spans="1:9" x14ac:dyDescent="0.25">
      <c r="A44" t="s">
        <v>113</v>
      </c>
      <c r="B44" s="1" t="s">
        <v>54</v>
      </c>
      <c r="D44" t="s">
        <v>64</v>
      </c>
      <c r="E44">
        <v>64913</v>
      </c>
      <c r="F44">
        <v>42302</v>
      </c>
      <c r="G44">
        <v>1</v>
      </c>
      <c r="H44" t="s">
        <v>36</v>
      </c>
      <c r="I44" t="s">
        <v>114</v>
      </c>
    </row>
    <row r="45" spans="1:9" x14ac:dyDescent="0.25">
      <c r="A45" t="s">
        <v>115</v>
      </c>
      <c r="B45" s="1" t="s">
        <v>22</v>
      </c>
      <c r="C45" t="s">
        <v>42</v>
      </c>
      <c r="D45" t="s">
        <v>64</v>
      </c>
      <c r="E45">
        <v>35326</v>
      </c>
      <c r="F45">
        <v>42309</v>
      </c>
      <c r="H45" t="s">
        <v>36</v>
      </c>
      <c r="I45" t="s">
        <v>116</v>
      </c>
    </row>
    <row r="46" spans="1:9" x14ac:dyDescent="0.25">
      <c r="A46" t="s">
        <v>117</v>
      </c>
      <c r="B46" s="1" t="s">
        <v>41</v>
      </c>
      <c r="C46" t="s">
        <v>10</v>
      </c>
      <c r="E46">
        <v>81610</v>
      </c>
      <c r="F46">
        <v>42316</v>
      </c>
      <c r="G46">
        <v>1</v>
      </c>
      <c r="I46" t="s">
        <v>118</v>
      </c>
    </row>
    <row r="47" spans="1:9" x14ac:dyDescent="0.25">
      <c r="A47" t="s">
        <v>119</v>
      </c>
      <c r="C47" t="s">
        <v>17</v>
      </c>
      <c r="E47">
        <v>58962</v>
      </c>
      <c r="F47">
        <v>42323</v>
      </c>
      <c r="G47">
        <v>3</v>
      </c>
      <c r="H47" t="s">
        <v>19</v>
      </c>
      <c r="I47" t="s">
        <v>20</v>
      </c>
    </row>
    <row r="48" spans="1:9" x14ac:dyDescent="0.25">
      <c r="A48" t="s">
        <v>120</v>
      </c>
      <c r="B48" s="1" t="s">
        <v>41</v>
      </c>
      <c r="C48" t="s">
        <v>34</v>
      </c>
      <c r="D48" t="s">
        <v>18</v>
      </c>
      <c r="E48">
        <v>92701</v>
      </c>
      <c r="F48">
        <v>42330</v>
      </c>
      <c r="G48">
        <v>3</v>
      </c>
      <c r="H48" t="s">
        <v>19</v>
      </c>
      <c r="I48" t="s">
        <v>121</v>
      </c>
    </row>
    <row r="49" spans="1:9" x14ac:dyDescent="0.25">
      <c r="A49" t="s">
        <v>122</v>
      </c>
      <c r="B49" s="1" t="s">
        <v>41</v>
      </c>
      <c r="C49" t="s">
        <v>17</v>
      </c>
      <c r="D49" t="s">
        <v>35</v>
      </c>
      <c r="E49">
        <v>58245</v>
      </c>
      <c r="F49">
        <v>42337</v>
      </c>
      <c r="G49">
        <v>4</v>
      </c>
      <c r="I49" t="s">
        <v>123</v>
      </c>
    </row>
    <row r="50" spans="1:9" x14ac:dyDescent="0.25">
      <c r="A50" t="s">
        <v>124</v>
      </c>
      <c r="B50" s="1" t="s">
        <v>25</v>
      </c>
      <c r="C50" t="s">
        <v>10</v>
      </c>
      <c r="E50">
        <v>66513</v>
      </c>
      <c r="F50">
        <v>42344</v>
      </c>
      <c r="G50">
        <v>2</v>
      </c>
      <c r="H50" t="s">
        <v>19</v>
      </c>
      <c r="I50" t="s">
        <v>37</v>
      </c>
    </row>
    <row r="51" spans="1:9" x14ac:dyDescent="0.25">
      <c r="A51" t="s">
        <v>125</v>
      </c>
      <c r="B51" s="1" t="s">
        <v>16</v>
      </c>
      <c r="C51" t="s">
        <v>17</v>
      </c>
      <c r="D51" t="s">
        <v>18</v>
      </c>
      <c r="E51">
        <v>78720</v>
      </c>
      <c r="F51">
        <v>42351</v>
      </c>
      <c r="G51">
        <v>5</v>
      </c>
      <c r="H51" t="s">
        <v>36</v>
      </c>
      <c r="I51" t="s">
        <v>110</v>
      </c>
    </row>
    <row r="52" spans="1:9" x14ac:dyDescent="0.25">
      <c r="A52" t="s">
        <v>126</v>
      </c>
      <c r="B52" s="1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25">
      <c r="A53" t="s">
        <v>128</v>
      </c>
      <c r="B53" s="1" t="s">
        <v>39</v>
      </c>
      <c r="C53" t="s">
        <v>26</v>
      </c>
      <c r="D53" t="s">
        <v>35</v>
      </c>
      <c r="E53">
        <v>39423</v>
      </c>
      <c r="F53">
        <v>42365</v>
      </c>
      <c r="G53">
        <v>5</v>
      </c>
      <c r="I53" t="s">
        <v>129</v>
      </c>
    </row>
    <row r="54" spans="1:9" x14ac:dyDescent="0.25">
      <c r="A54" t="s">
        <v>130</v>
      </c>
      <c r="B54" s="1" t="s">
        <v>16</v>
      </c>
      <c r="C54" t="s">
        <v>42</v>
      </c>
      <c r="E54">
        <v>30280</v>
      </c>
      <c r="F54">
        <v>42372</v>
      </c>
      <c r="G54">
        <v>1</v>
      </c>
      <c r="I54" t="s">
        <v>131</v>
      </c>
    </row>
    <row r="55" spans="1:9" x14ac:dyDescent="0.25">
      <c r="A55" t="s">
        <v>132</v>
      </c>
      <c r="B55" s="1" t="s">
        <v>16</v>
      </c>
      <c r="C55" t="s">
        <v>10</v>
      </c>
      <c r="D55" t="s">
        <v>47</v>
      </c>
      <c r="E55">
        <v>33352</v>
      </c>
      <c r="F55">
        <v>42379</v>
      </c>
      <c r="G55">
        <v>3</v>
      </c>
      <c r="H55" t="s">
        <v>36</v>
      </c>
      <c r="I55" t="s">
        <v>71</v>
      </c>
    </row>
    <row r="56" spans="1:9" x14ac:dyDescent="0.25">
      <c r="A56" t="s">
        <v>133</v>
      </c>
      <c r="B56" s="1" t="s">
        <v>54</v>
      </c>
      <c r="C56" t="s">
        <v>42</v>
      </c>
      <c r="D56" t="s">
        <v>47</v>
      </c>
      <c r="E56">
        <v>75633</v>
      </c>
      <c r="F56">
        <v>42386</v>
      </c>
      <c r="G56">
        <v>5</v>
      </c>
      <c r="H56" t="s">
        <v>19</v>
      </c>
      <c r="I56" t="s">
        <v>134</v>
      </c>
    </row>
    <row r="57" spans="1:9" x14ac:dyDescent="0.25">
      <c r="A57" t="s">
        <v>135</v>
      </c>
      <c r="B57" s="1" t="s">
        <v>41</v>
      </c>
      <c r="D57" t="s">
        <v>27</v>
      </c>
      <c r="E57">
        <v>74815</v>
      </c>
      <c r="F57">
        <v>42393</v>
      </c>
      <c r="G57">
        <v>5</v>
      </c>
      <c r="H57" t="s">
        <v>36</v>
      </c>
      <c r="I57" t="s">
        <v>136</v>
      </c>
    </row>
    <row r="58" spans="1:9" x14ac:dyDescent="0.25">
      <c r="A58" t="s">
        <v>137</v>
      </c>
      <c r="B58" s="1" t="s">
        <v>25</v>
      </c>
      <c r="C58" t="s">
        <v>26</v>
      </c>
      <c r="D58" t="s">
        <v>64</v>
      </c>
      <c r="E58">
        <v>60011</v>
      </c>
      <c r="F58">
        <v>42400</v>
      </c>
      <c r="G58">
        <v>1</v>
      </c>
      <c r="H58" t="s">
        <v>28</v>
      </c>
      <c r="I58" t="s">
        <v>138</v>
      </c>
    </row>
    <row r="59" spans="1:9" x14ac:dyDescent="0.25">
      <c r="A59" t="s">
        <v>139</v>
      </c>
      <c r="B59" s="1" t="s">
        <v>16</v>
      </c>
      <c r="D59" t="s">
        <v>35</v>
      </c>
      <c r="E59">
        <v>96949</v>
      </c>
      <c r="F59">
        <v>42407</v>
      </c>
      <c r="G59">
        <v>3</v>
      </c>
      <c r="I59" t="s">
        <v>85</v>
      </c>
    </row>
    <row r="60" spans="1:9" x14ac:dyDescent="0.25">
      <c r="A60" t="s">
        <v>140</v>
      </c>
      <c r="B60" s="1" t="s">
        <v>39</v>
      </c>
      <c r="C60" t="s">
        <v>42</v>
      </c>
      <c r="E60">
        <v>84924</v>
      </c>
      <c r="F60">
        <v>42414</v>
      </c>
      <c r="G60">
        <v>5</v>
      </c>
      <c r="H60" t="s">
        <v>28</v>
      </c>
      <c r="I60" t="s">
        <v>141</v>
      </c>
    </row>
    <row r="61" spans="1:9" x14ac:dyDescent="0.25">
      <c r="A61" t="s">
        <v>142</v>
      </c>
      <c r="B61" s="1" t="s">
        <v>39</v>
      </c>
      <c r="C61" t="s">
        <v>10</v>
      </c>
      <c r="D61" t="s">
        <v>27</v>
      </c>
      <c r="E61">
        <v>82033</v>
      </c>
      <c r="F61">
        <v>42421</v>
      </c>
      <c r="G61">
        <v>1</v>
      </c>
      <c r="I61" t="s">
        <v>118</v>
      </c>
    </row>
    <row r="62" spans="1:9" x14ac:dyDescent="0.2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25">
      <c r="A63" t="s">
        <v>145</v>
      </c>
      <c r="B63" s="1" t="s">
        <v>16</v>
      </c>
      <c r="D63" t="s">
        <v>64</v>
      </c>
      <c r="E63">
        <v>31499</v>
      </c>
      <c r="F63">
        <v>42435</v>
      </c>
      <c r="G63">
        <v>2</v>
      </c>
      <c r="I63" t="s">
        <v>102</v>
      </c>
    </row>
    <row r="64" spans="1:9" x14ac:dyDescent="0.25">
      <c r="A64" t="s">
        <v>146</v>
      </c>
      <c r="B64" s="1" t="s">
        <v>41</v>
      </c>
      <c r="C64" t="s">
        <v>34</v>
      </c>
      <c r="D64" t="s">
        <v>47</v>
      </c>
      <c r="E64">
        <v>97981</v>
      </c>
      <c r="F64">
        <v>42442</v>
      </c>
      <c r="G64">
        <v>5</v>
      </c>
      <c r="H64" t="s">
        <v>36</v>
      </c>
      <c r="I64" t="s">
        <v>147</v>
      </c>
    </row>
    <row r="65" spans="1:9" x14ac:dyDescent="0.25">
      <c r="A65" t="s">
        <v>148</v>
      </c>
      <c r="B65" s="1" t="s">
        <v>16</v>
      </c>
      <c r="C65" t="s">
        <v>17</v>
      </c>
      <c r="D65" t="s">
        <v>27</v>
      </c>
      <c r="E65">
        <v>36541</v>
      </c>
      <c r="F65">
        <v>42449</v>
      </c>
      <c r="G65">
        <v>2</v>
      </c>
      <c r="H65" t="s">
        <v>19</v>
      </c>
      <c r="I65" t="s">
        <v>149</v>
      </c>
    </row>
    <row r="66" spans="1:9" x14ac:dyDescent="0.25">
      <c r="A66" t="s">
        <v>150</v>
      </c>
      <c r="B66" s="1" t="s">
        <v>25</v>
      </c>
      <c r="C66" t="s">
        <v>34</v>
      </c>
      <c r="D66" t="s">
        <v>35</v>
      </c>
      <c r="E66">
        <v>84737</v>
      </c>
      <c r="F66">
        <v>42456</v>
      </c>
      <c r="G66">
        <v>1</v>
      </c>
      <c r="H66" t="s">
        <v>28</v>
      </c>
      <c r="I66" t="s">
        <v>151</v>
      </c>
    </row>
    <row r="67" spans="1:9" x14ac:dyDescent="0.25">
      <c r="A67" t="s">
        <v>152</v>
      </c>
      <c r="B67" s="1" t="s">
        <v>39</v>
      </c>
      <c r="C67" t="s">
        <v>10</v>
      </c>
      <c r="D67" t="s">
        <v>35</v>
      </c>
      <c r="E67">
        <v>33468</v>
      </c>
      <c r="F67">
        <v>42463</v>
      </c>
      <c r="G67">
        <v>4</v>
      </c>
      <c r="H67" t="s">
        <v>28</v>
      </c>
      <c r="I67" t="s">
        <v>153</v>
      </c>
    </row>
    <row r="68" spans="1:9" x14ac:dyDescent="0.25">
      <c r="A68" t="s">
        <v>154</v>
      </c>
      <c r="B68" s="1" t="s">
        <v>39</v>
      </c>
      <c r="D68" t="s">
        <v>64</v>
      </c>
      <c r="E68">
        <v>96365</v>
      </c>
      <c r="F68">
        <v>42470</v>
      </c>
      <c r="G68">
        <v>3</v>
      </c>
      <c r="H68" t="s">
        <v>19</v>
      </c>
      <c r="I68" t="s">
        <v>155</v>
      </c>
    </row>
    <row r="69" spans="1:9" x14ac:dyDescent="0.25">
      <c r="A69" t="s">
        <v>156</v>
      </c>
      <c r="B69" s="1" t="s">
        <v>22</v>
      </c>
      <c r="C69" t="s">
        <v>26</v>
      </c>
      <c r="D69" t="s">
        <v>35</v>
      </c>
      <c r="E69">
        <v>61942</v>
      </c>
      <c r="F69">
        <v>42477</v>
      </c>
      <c r="G69">
        <v>3</v>
      </c>
      <c r="H69" t="s">
        <v>36</v>
      </c>
      <c r="I69" t="s">
        <v>157</v>
      </c>
    </row>
    <row r="70" spans="1:9" x14ac:dyDescent="0.25">
      <c r="A70" t="s">
        <v>158</v>
      </c>
      <c r="B70" s="1" t="s">
        <v>39</v>
      </c>
      <c r="C70" t="s">
        <v>10</v>
      </c>
      <c r="D70" t="s">
        <v>47</v>
      </c>
      <c r="E70">
        <v>41467</v>
      </c>
      <c r="F70">
        <v>42484</v>
      </c>
      <c r="G70">
        <v>2</v>
      </c>
      <c r="I70" t="s">
        <v>73</v>
      </c>
    </row>
    <row r="71" spans="1:9" x14ac:dyDescent="0.25">
      <c r="A71" t="s">
        <v>159</v>
      </c>
      <c r="B71" s="1" t="s">
        <v>54</v>
      </c>
      <c r="C71" t="s">
        <v>10</v>
      </c>
      <c r="D71" t="s">
        <v>35</v>
      </c>
      <c r="E71">
        <v>77096</v>
      </c>
      <c r="F71">
        <v>42491</v>
      </c>
      <c r="G71">
        <v>1</v>
      </c>
      <c r="I71" t="s">
        <v>160</v>
      </c>
    </row>
    <row r="72" spans="1:9" x14ac:dyDescent="0.25">
      <c r="A72" t="s">
        <v>161</v>
      </c>
      <c r="B72" s="1" t="s">
        <v>16</v>
      </c>
      <c r="C72" t="s">
        <v>26</v>
      </c>
      <c r="D72" t="s">
        <v>64</v>
      </c>
      <c r="E72">
        <v>69952</v>
      </c>
      <c r="F72">
        <v>42498</v>
      </c>
      <c r="G72">
        <v>5</v>
      </c>
      <c r="H72" t="s">
        <v>36</v>
      </c>
      <c r="I72" t="s">
        <v>14</v>
      </c>
    </row>
    <row r="73" spans="1:9" x14ac:dyDescent="0.25">
      <c r="A73" t="s">
        <v>162</v>
      </c>
      <c r="B73" s="1" t="s">
        <v>16</v>
      </c>
      <c r="C73" t="s">
        <v>42</v>
      </c>
      <c r="D73" t="s">
        <v>27</v>
      </c>
      <c r="E73">
        <v>85065</v>
      </c>
      <c r="F73">
        <v>42505</v>
      </c>
      <c r="G73">
        <v>3</v>
      </c>
      <c r="I73" t="s">
        <v>163</v>
      </c>
    </row>
    <row r="74" spans="1:9" x14ac:dyDescent="0.25">
      <c r="A74" t="s">
        <v>164</v>
      </c>
      <c r="B74" s="1" t="s">
        <v>54</v>
      </c>
      <c r="C74" t="s">
        <v>42</v>
      </c>
      <c r="D74" t="s">
        <v>35</v>
      </c>
      <c r="E74">
        <v>56512</v>
      </c>
      <c r="F74">
        <v>42512</v>
      </c>
      <c r="H74" t="s">
        <v>19</v>
      </c>
      <c r="I74" t="s">
        <v>48</v>
      </c>
    </row>
    <row r="75" spans="1:9" x14ac:dyDescent="0.25">
      <c r="A75" t="s">
        <v>165</v>
      </c>
      <c r="B75" s="1" t="s">
        <v>25</v>
      </c>
      <c r="C75" t="s">
        <v>26</v>
      </c>
      <c r="D75" t="s">
        <v>35</v>
      </c>
      <c r="E75">
        <v>91101</v>
      </c>
      <c r="F75">
        <v>42519</v>
      </c>
      <c r="G75">
        <v>4</v>
      </c>
      <c r="H75" t="s">
        <v>36</v>
      </c>
      <c r="I75" t="s">
        <v>147</v>
      </c>
    </row>
    <row r="76" spans="1:9" x14ac:dyDescent="0.25">
      <c r="A76" t="s">
        <v>166</v>
      </c>
      <c r="B76" s="1" t="s">
        <v>39</v>
      </c>
      <c r="D76" t="s">
        <v>18</v>
      </c>
      <c r="E76">
        <v>41243</v>
      </c>
      <c r="F76">
        <v>42526</v>
      </c>
      <c r="I76" t="s">
        <v>93</v>
      </c>
    </row>
    <row r="77" spans="1:9" x14ac:dyDescent="0.25">
      <c r="A77" t="s">
        <v>167</v>
      </c>
      <c r="C77" t="s">
        <v>26</v>
      </c>
      <c r="D77" t="s">
        <v>11</v>
      </c>
      <c r="E77">
        <v>96142</v>
      </c>
      <c r="F77">
        <v>42533</v>
      </c>
      <c r="G77">
        <v>1</v>
      </c>
      <c r="H77" t="s">
        <v>19</v>
      </c>
      <c r="I77" t="s">
        <v>168</v>
      </c>
    </row>
    <row r="78" spans="1:9" x14ac:dyDescent="0.25">
      <c r="A78" t="s">
        <v>169</v>
      </c>
      <c r="B78" s="1" t="s">
        <v>16</v>
      </c>
      <c r="C78" t="s">
        <v>34</v>
      </c>
      <c r="D78" t="s">
        <v>35</v>
      </c>
      <c r="E78">
        <v>94301</v>
      </c>
      <c r="F78">
        <v>42540</v>
      </c>
      <c r="G78">
        <v>1</v>
      </c>
      <c r="H78" t="s">
        <v>28</v>
      </c>
      <c r="I78" t="s">
        <v>118</v>
      </c>
    </row>
    <row r="79" spans="1:9" x14ac:dyDescent="0.25">
      <c r="A79" t="s">
        <v>170</v>
      </c>
      <c r="B79" s="1" t="s">
        <v>31</v>
      </c>
      <c r="D79" t="s">
        <v>47</v>
      </c>
      <c r="E79">
        <v>69166</v>
      </c>
      <c r="F79">
        <v>42547</v>
      </c>
      <c r="G79">
        <v>1</v>
      </c>
      <c r="H79" t="s">
        <v>36</v>
      </c>
      <c r="I79" t="s">
        <v>171</v>
      </c>
    </row>
    <row r="80" spans="1:9" x14ac:dyDescent="0.25">
      <c r="A80" t="s">
        <v>172</v>
      </c>
      <c r="B80" s="1" t="s">
        <v>39</v>
      </c>
      <c r="D80" t="s">
        <v>47</v>
      </c>
      <c r="E80">
        <v>78245</v>
      </c>
      <c r="F80">
        <v>42554</v>
      </c>
      <c r="G80">
        <v>2</v>
      </c>
      <c r="I80" t="s">
        <v>173</v>
      </c>
    </row>
    <row r="81" spans="1:9" x14ac:dyDescent="0.25">
      <c r="A81" t="s">
        <v>174</v>
      </c>
      <c r="B81" s="1" t="s">
        <v>41</v>
      </c>
      <c r="C81" t="s">
        <v>26</v>
      </c>
      <c r="D81" t="s">
        <v>27</v>
      </c>
      <c r="E81">
        <v>66079</v>
      </c>
      <c r="F81">
        <v>42561</v>
      </c>
      <c r="G81">
        <v>2</v>
      </c>
      <c r="H81" t="s">
        <v>19</v>
      </c>
      <c r="I81" t="s">
        <v>175</v>
      </c>
    </row>
    <row r="82" spans="1:9" x14ac:dyDescent="0.25">
      <c r="A82" t="s">
        <v>176</v>
      </c>
      <c r="B82" s="1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25">
      <c r="A83" t="s">
        <v>177</v>
      </c>
      <c r="B83" s="1" t="s">
        <v>31</v>
      </c>
      <c r="C83" t="s">
        <v>26</v>
      </c>
      <c r="D83" t="s">
        <v>27</v>
      </c>
      <c r="E83">
        <v>95621</v>
      </c>
      <c r="F83">
        <v>42575</v>
      </c>
      <c r="G83">
        <v>3</v>
      </c>
      <c r="H83" t="s">
        <v>36</v>
      </c>
      <c r="I83" t="s">
        <v>178</v>
      </c>
    </row>
    <row r="84" spans="1:9" x14ac:dyDescent="0.25">
      <c r="A84" t="s">
        <v>179</v>
      </c>
      <c r="B84" s="1" t="s">
        <v>16</v>
      </c>
      <c r="C84" t="s">
        <v>34</v>
      </c>
      <c r="D84" t="s">
        <v>47</v>
      </c>
      <c r="E84">
        <v>42262</v>
      </c>
      <c r="F84">
        <v>42582</v>
      </c>
      <c r="G84">
        <v>1</v>
      </c>
      <c r="I84" t="s">
        <v>180</v>
      </c>
    </row>
    <row r="85" spans="1:9" x14ac:dyDescent="0.25">
      <c r="A85" t="s">
        <v>181</v>
      </c>
      <c r="B85" s="1" t="s">
        <v>39</v>
      </c>
      <c r="C85" t="s">
        <v>26</v>
      </c>
      <c r="D85" t="s">
        <v>35</v>
      </c>
      <c r="E85">
        <v>99621</v>
      </c>
      <c r="F85">
        <v>42589</v>
      </c>
      <c r="H85" t="s">
        <v>19</v>
      </c>
      <c r="I85" t="s">
        <v>182</v>
      </c>
    </row>
    <row r="86" spans="1:9" x14ac:dyDescent="0.25">
      <c r="A86" t="s">
        <v>183</v>
      </c>
      <c r="B86" s="1" t="s">
        <v>25</v>
      </c>
      <c r="C86" t="s">
        <v>42</v>
      </c>
      <c r="D86" t="s">
        <v>35</v>
      </c>
      <c r="E86">
        <v>44682</v>
      </c>
      <c r="F86">
        <v>42596</v>
      </c>
      <c r="G86">
        <v>4</v>
      </c>
      <c r="H86" t="s">
        <v>36</v>
      </c>
      <c r="I86" t="s">
        <v>112</v>
      </c>
    </row>
    <row r="87" spans="1:9" x14ac:dyDescent="0.25">
      <c r="A87" t="s">
        <v>184</v>
      </c>
      <c r="B87" s="1" t="s">
        <v>41</v>
      </c>
      <c r="C87" t="s">
        <v>10</v>
      </c>
      <c r="E87">
        <v>35163</v>
      </c>
      <c r="F87">
        <v>42603</v>
      </c>
      <c r="G87">
        <v>5</v>
      </c>
      <c r="H87" t="s">
        <v>19</v>
      </c>
      <c r="I87" t="s">
        <v>185</v>
      </c>
    </row>
    <row r="88" spans="1:9" x14ac:dyDescent="0.25">
      <c r="A88" t="s">
        <v>186</v>
      </c>
      <c r="B88" s="1" t="s">
        <v>41</v>
      </c>
      <c r="C88" t="s">
        <v>34</v>
      </c>
      <c r="D88" t="s">
        <v>35</v>
      </c>
      <c r="E88">
        <v>33483</v>
      </c>
      <c r="F88">
        <v>42610</v>
      </c>
      <c r="G88">
        <v>4</v>
      </c>
      <c r="H88" t="s">
        <v>28</v>
      </c>
      <c r="I88" t="s">
        <v>187</v>
      </c>
    </row>
    <row r="89" spans="1:9" x14ac:dyDescent="0.25">
      <c r="A89" t="s">
        <v>188</v>
      </c>
      <c r="B89" s="1" t="s">
        <v>39</v>
      </c>
      <c r="C89" t="s">
        <v>17</v>
      </c>
      <c r="D89" t="s">
        <v>18</v>
      </c>
      <c r="E89">
        <v>55303</v>
      </c>
      <c r="F89">
        <v>42617</v>
      </c>
      <c r="G89">
        <v>4</v>
      </c>
      <c r="H89" t="s">
        <v>28</v>
      </c>
      <c r="I89" t="s">
        <v>77</v>
      </c>
    </row>
    <row r="90" spans="1:9" x14ac:dyDescent="0.25">
      <c r="A90" t="s">
        <v>189</v>
      </c>
      <c r="B90" s="1" t="s">
        <v>41</v>
      </c>
      <c r="C90" t="s">
        <v>34</v>
      </c>
      <c r="E90">
        <v>63434</v>
      </c>
      <c r="F90">
        <v>42624</v>
      </c>
      <c r="G90">
        <v>3</v>
      </c>
      <c r="I90" t="s">
        <v>190</v>
      </c>
    </row>
    <row r="91" spans="1:9" x14ac:dyDescent="0.25">
      <c r="A91" t="s">
        <v>191</v>
      </c>
      <c r="B91" s="1" t="s">
        <v>31</v>
      </c>
      <c r="D91" t="s">
        <v>64</v>
      </c>
      <c r="E91">
        <v>38830</v>
      </c>
      <c r="F91">
        <v>42631</v>
      </c>
      <c r="G91">
        <v>3</v>
      </c>
      <c r="H91" t="s">
        <v>19</v>
      </c>
      <c r="I91" t="s">
        <v>77</v>
      </c>
    </row>
    <row r="92" spans="1:9" x14ac:dyDescent="0.25">
      <c r="A92" t="s">
        <v>192</v>
      </c>
      <c r="C92" t="s">
        <v>42</v>
      </c>
      <c r="D92" t="s">
        <v>47</v>
      </c>
      <c r="E92">
        <v>50741</v>
      </c>
      <c r="F92">
        <v>42638</v>
      </c>
      <c r="G92">
        <v>3</v>
      </c>
      <c r="H92" t="s">
        <v>13</v>
      </c>
      <c r="I92" t="s">
        <v>160</v>
      </c>
    </row>
    <row r="93" spans="1:9" x14ac:dyDescent="0.25">
      <c r="A93" t="s">
        <v>193</v>
      </c>
      <c r="B93" s="1" t="s">
        <v>22</v>
      </c>
      <c r="C93" t="s">
        <v>17</v>
      </c>
      <c r="D93" t="s">
        <v>64</v>
      </c>
      <c r="E93">
        <v>69420</v>
      </c>
      <c r="F93">
        <v>42645</v>
      </c>
      <c r="G93">
        <v>1</v>
      </c>
      <c r="H93" t="s">
        <v>28</v>
      </c>
      <c r="I93" t="s">
        <v>123</v>
      </c>
    </row>
    <row r="94" spans="1:9" x14ac:dyDescent="0.25">
      <c r="A94" t="s">
        <v>194</v>
      </c>
      <c r="B94" s="1" t="s">
        <v>31</v>
      </c>
      <c r="C94" t="s">
        <v>34</v>
      </c>
      <c r="E94">
        <v>80588</v>
      </c>
      <c r="F94">
        <v>42652</v>
      </c>
      <c r="G94">
        <v>5</v>
      </c>
      <c r="H94" t="s">
        <v>28</v>
      </c>
      <c r="I94" t="s">
        <v>104</v>
      </c>
    </row>
    <row r="95" spans="1:9" x14ac:dyDescent="0.25">
      <c r="A95" t="s">
        <v>195</v>
      </c>
      <c r="B95" s="1" t="s">
        <v>22</v>
      </c>
      <c r="D95" t="s">
        <v>27</v>
      </c>
      <c r="E95">
        <v>76238</v>
      </c>
      <c r="F95">
        <v>42659</v>
      </c>
      <c r="G95">
        <v>4</v>
      </c>
      <c r="H95" t="s">
        <v>28</v>
      </c>
      <c r="I95" t="s">
        <v>196</v>
      </c>
    </row>
    <row r="96" spans="1:9" x14ac:dyDescent="0.25">
      <c r="A96" t="s">
        <v>197</v>
      </c>
      <c r="B96" s="1" t="s">
        <v>54</v>
      </c>
      <c r="C96" t="s">
        <v>34</v>
      </c>
      <c r="D96" t="s">
        <v>35</v>
      </c>
      <c r="E96">
        <v>33264</v>
      </c>
      <c r="F96">
        <v>42666</v>
      </c>
      <c r="H96" t="s">
        <v>36</v>
      </c>
      <c r="I96" t="s">
        <v>198</v>
      </c>
    </row>
    <row r="97" spans="1:9" x14ac:dyDescent="0.25">
      <c r="A97" t="s">
        <v>199</v>
      </c>
      <c r="B97" s="1" t="s">
        <v>22</v>
      </c>
      <c r="C97" t="s">
        <v>10</v>
      </c>
      <c r="D97" t="s">
        <v>64</v>
      </c>
      <c r="E97">
        <v>96101</v>
      </c>
      <c r="F97">
        <v>42673</v>
      </c>
      <c r="H97" t="s">
        <v>19</v>
      </c>
      <c r="I97" t="s">
        <v>200</v>
      </c>
    </row>
    <row r="98" spans="1:9" x14ac:dyDescent="0.25">
      <c r="A98" t="s">
        <v>201</v>
      </c>
      <c r="B98" s="1" t="s">
        <v>31</v>
      </c>
      <c r="C98" t="s">
        <v>10</v>
      </c>
      <c r="D98" t="s">
        <v>27</v>
      </c>
      <c r="E98">
        <v>72939</v>
      </c>
      <c r="F98">
        <v>42680</v>
      </c>
      <c r="G98">
        <v>3</v>
      </c>
      <c r="I98" t="s">
        <v>202</v>
      </c>
    </row>
    <row r="99" spans="1:9" x14ac:dyDescent="0.25">
      <c r="A99" t="s">
        <v>203</v>
      </c>
      <c r="B99" s="1" t="s">
        <v>39</v>
      </c>
      <c r="C99" t="s">
        <v>17</v>
      </c>
      <c r="D99" t="s">
        <v>18</v>
      </c>
      <c r="E99">
        <v>89333</v>
      </c>
      <c r="F99">
        <v>42687</v>
      </c>
      <c r="G99">
        <v>1</v>
      </c>
      <c r="H99" t="s">
        <v>28</v>
      </c>
      <c r="I99" t="s">
        <v>204</v>
      </c>
    </row>
    <row r="100" spans="1:9" x14ac:dyDescent="0.25">
      <c r="A100" t="s">
        <v>205</v>
      </c>
      <c r="B100" s="1" t="s">
        <v>54</v>
      </c>
      <c r="C100" t="s">
        <v>34</v>
      </c>
      <c r="D100" t="s">
        <v>64</v>
      </c>
      <c r="E100">
        <v>70470</v>
      </c>
      <c r="F100">
        <v>42694</v>
      </c>
      <c r="H100" t="s">
        <v>28</v>
      </c>
      <c r="I100" t="s">
        <v>206</v>
      </c>
    </row>
    <row r="101" spans="1:9" x14ac:dyDescent="0.25">
      <c r="A101" t="s">
        <v>207</v>
      </c>
      <c r="B101" s="1" t="s">
        <v>16</v>
      </c>
      <c r="C101" t="s">
        <v>42</v>
      </c>
      <c r="D101" t="s">
        <v>27</v>
      </c>
      <c r="E101">
        <v>70096</v>
      </c>
      <c r="F101">
        <v>42701</v>
      </c>
      <c r="G101">
        <v>4</v>
      </c>
      <c r="H101" t="s">
        <v>28</v>
      </c>
      <c r="I101" t="s">
        <v>208</v>
      </c>
    </row>
    <row r="102" spans="1:9" x14ac:dyDescent="0.25">
      <c r="A102" t="s">
        <v>209</v>
      </c>
      <c r="B102" s="1" t="s">
        <v>54</v>
      </c>
      <c r="C102" t="s">
        <v>42</v>
      </c>
      <c r="D102" t="s">
        <v>11</v>
      </c>
      <c r="E102" t="s">
        <v>12</v>
      </c>
      <c r="F102">
        <v>42708</v>
      </c>
      <c r="G102">
        <v>2</v>
      </c>
      <c r="H102" t="s">
        <v>19</v>
      </c>
      <c r="I102" t="s">
        <v>210</v>
      </c>
    </row>
    <row r="103" spans="1:9" x14ac:dyDescent="0.25">
      <c r="A103" t="s">
        <v>211</v>
      </c>
      <c r="B103" s="1" t="s">
        <v>54</v>
      </c>
      <c r="C103" t="s">
        <v>34</v>
      </c>
      <c r="D103" t="s">
        <v>18</v>
      </c>
      <c r="E103">
        <v>66503</v>
      </c>
      <c r="F103">
        <v>42715</v>
      </c>
      <c r="H103" t="s">
        <v>28</v>
      </c>
      <c r="I103" t="s">
        <v>71</v>
      </c>
    </row>
    <row r="104" spans="1:9" x14ac:dyDescent="0.25">
      <c r="A104" t="s">
        <v>212</v>
      </c>
      <c r="B104" s="1" t="s">
        <v>22</v>
      </c>
      <c r="C104" t="s">
        <v>17</v>
      </c>
      <c r="D104" t="s">
        <v>18</v>
      </c>
      <c r="E104">
        <v>42096</v>
      </c>
      <c r="F104">
        <v>42722</v>
      </c>
      <c r="H104" t="s">
        <v>36</v>
      </c>
      <c r="I104" t="s">
        <v>213</v>
      </c>
    </row>
    <row r="105" spans="1:9" x14ac:dyDescent="0.25">
      <c r="A105" t="s">
        <v>214</v>
      </c>
      <c r="B105" s="1" t="s">
        <v>22</v>
      </c>
      <c r="C105" t="s">
        <v>42</v>
      </c>
      <c r="E105">
        <v>79145</v>
      </c>
      <c r="F105">
        <v>42729</v>
      </c>
      <c r="G105">
        <v>5</v>
      </c>
      <c r="H105" t="s">
        <v>19</v>
      </c>
      <c r="I105" t="s">
        <v>118</v>
      </c>
    </row>
    <row r="106" spans="1:9" x14ac:dyDescent="0.25">
      <c r="A106" t="s">
        <v>215</v>
      </c>
      <c r="B106" s="1" t="s">
        <v>31</v>
      </c>
      <c r="D106" t="s">
        <v>64</v>
      </c>
      <c r="E106">
        <v>61556</v>
      </c>
      <c r="F106">
        <v>42736</v>
      </c>
      <c r="G106">
        <v>1</v>
      </c>
      <c r="I106" t="s">
        <v>210</v>
      </c>
    </row>
    <row r="107" spans="1:9" x14ac:dyDescent="0.25">
      <c r="A107" t="s">
        <v>216</v>
      </c>
      <c r="C107" t="s">
        <v>17</v>
      </c>
      <c r="D107" t="s">
        <v>47</v>
      </c>
      <c r="E107">
        <v>87963</v>
      </c>
      <c r="F107">
        <v>42743</v>
      </c>
      <c r="G107">
        <v>3</v>
      </c>
      <c r="H107" t="s">
        <v>19</v>
      </c>
      <c r="I107" t="s">
        <v>14</v>
      </c>
    </row>
    <row r="108" spans="1:9" x14ac:dyDescent="0.25">
      <c r="A108" t="s">
        <v>217</v>
      </c>
      <c r="B108" s="1" t="s">
        <v>16</v>
      </c>
      <c r="C108" t="s">
        <v>34</v>
      </c>
      <c r="E108">
        <v>48325</v>
      </c>
      <c r="F108">
        <v>42750</v>
      </c>
      <c r="H108" t="s">
        <v>28</v>
      </c>
      <c r="I108" t="s">
        <v>218</v>
      </c>
    </row>
    <row r="109" spans="1:9" x14ac:dyDescent="0.25">
      <c r="A109" t="s">
        <v>219</v>
      </c>
      <c r="B109" s="1" t="s">
        <v>39</v>
      </c>
      <c r="C109" t="s">
        <v>42</v>
      </c>
      <c r="D109" t="s">
        <v>64</v>
      </c>
      <c r="E109">
        <v>86412</v>
      </c>
      <c r="F109">
        <v>42757</v>
      </c>
      <c r="G109">
        <v>2</v>
      </c>
      <c r="H109" t="s">
        <v>36</v>
      </c>
      <c r="I109" t="s">
        <v>75</v>
      </c>
    </row>
    <row r="110" spans="1:9" x14ac:dyDescent="0.25">
      <c r="A110" t="s">
        <v>220</v>
      </c>
      <c r="B110" s="1" t="s">
        <v>39</v>
      </c>
      <c r="C110" t="s">
        <v>17</v>
      </c>
      <c r="E110">
        <v>66761</v>
      </c>
      <c r="F110">
        <v>42764</v>
      </c>
      <c r="G110">
        <v>1</v>
      </c>
      <c r="I110" t="s">
        <v>221</v>
      </c>
    </row>
    <row r="111" spans="1:9" x14ac:dyDescent="0.25">
      <c r="A111" t="s">
        <v>222</v>
      </c>
      <c r="B111" s="1" t="s">
        <v>31</v>
      </c>
      <c r="D111" t="s">
        <v>35</v>
      </c>
      <c r="E111">
        <v>88850</v>
      </c>
      <c r="F111">
        <v>42771</v>
      </c>
      <c r="G111">
        <v>1</v>
      </c>
      <c r="H111" t="s">
        <v>36</v>
      </c>
      <c r="I111" t="s">
        <v>223</v>
      </c>
    </row>
    <row r="112" spans="1:9" x14ac:dyDescent="0.25">
      <c r="A112" t="s">
        <v>224</v>
      </c>
      <c r="B112" s="1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25">
      <c r="A113" t="s">
        <v>226</v>
      </c>
      <c r="B113" s="1" t="s">
        <v>41</v>
      </c>
      <c r="C113" t="s">
        <v>34</v>
      </c>
      <c r="D113" t="s">
        <v>27</v>
      </c>
      <c r="E113">
        <v>34306</v>
      </c>
      <c r="F113">
        <v>42785</v>
      </c>
      <c r="G113">
        <v>5</v>
      </c>
      <c r="H113" t="s">
        <v>36</v>
      </c>
      <c r="I113" t="s">
        <v>157</v>
      </c>
    </row>
    <row r="114" spans="1:9" x14ac:dyDescent="0.25">
      <c r="A114" t="s">
        <v>227</v>
      </c>
      <c r="B114" s="1" t="s">
        <v>16</v>
      </c>
      <c r="C114" t="s">
        <v>10</v>
      </c>
      <c r="D114" t="s">
        <v>35</v>
      </c>
      <c r="E114">
        <v>78330</v>
      </c>
      <c r="F114">
        <v>42792</v>
      </c>
      <c r="H114" t="s">
        <v>19</v>
      </c>
      <c r="I114" t="s">
        <v>208</v>
      </c>
    </row>
    <row r="115" spans="1:9" x14ac:dyDescent="0.25">
      <c r="A115" t="s">
        <v>228</v>
      </c>
      <c r="B115" s="1" t="s">
        <v>22</v>
      </c>
      <c r="C115" t="s">
        <v>34</v>
      </c>
      <c r="D115" t="s">
        <v>27</v>
      </c>
      <c r="E115">
        <v>47653</v>
      </c>
      <c r="F115">
        <v>42799</v>
      </c>
      <c r="G115">
        <v>1</v>
      </c>
      <c r="H115" t="s">
        <v>28</v>
      </c>
      <c r="I115" t="s">
        <v>229</v>
      </c>
    </row>
    <row r="116" spans="1:9" x14ac:dyDescent="0.25">
      <c r="A116" t="s">
        <v>230</v>
      </c>
      <c r="B116" s="1" t="s">
        <v>16</v>
      </c>
      <c r="C116" t="s">
        <v>42</v>
      </c>
      <c r="D116" t="s">
        <v>47</v>
      </c>
      <c r="E116">
        <v>44627</v>
      </c>
      <c r="F116">
        <v>42806</v>
      </c>
      <c r="G116">
        <v>4</v>
      </c>
      <c r="I116" t="s">
        <v>149</v>
      </c>
    </row>
    <row r="117" spans="1:9" x14ac:dyDescent="0.25">
      <c r="A117" t="s">
        <v>231</v>
      </c>
      <c r="B117" s="1" t="s">
        <v>54</v>
      </c>
      <c r="C117" t="s">
        <v>17</v>
      </c>
      <c r="D117" t="s">
        <v>18</v>
      </c>
      <c r="E117">
        <v>92343</v>
      </c>
      <c r="F117">
        <v>42813</v>
      </c>
      <c r="G117">
        <v>4</v>
      </c>
      <c r="H117" t="s">
        <v>36</v>
      </c>
      <c r="I117" t="s">
        <v>77</v>
      </c>
    </row>
    <row r="118" spans="1:9" x14ac:dyDescent="0.25">
      <c r="A118" t="s">
        <v>232</v>
      </c>
      <c r="B118" s="1" t="s">
        <v>54</v>
      </c>
      <c r="C118" t="s">
        <v>42</v>
      </c>
      <c r="D118" t="s">
        <v>64</v>
      </c>
      <c r="E118">
        <v>38837</v>
      </c>
      <c r="F118">
        <v>42820</v>
      </c>
      <c r="G118">
        <v>5</v>
      </c>
      <c r="H118" t="s">
        <v>36</v>
      </c>
      <c r="I118" t="s">
        <v>157</v>
      </c>
    </row>
    <row r="119" spans="1:9" x14ac:dyDescent="0.25">
      <c r="A119" t="s">
        <v>233</v>
      </c>
      <c r="B119" s="1" t="s">
        <v>54</v>
      </c>
      <c r="C119" t="s">
        <v>42</v>
      </c>
      <c r="E119">
        <v>73483</v>
      </c>
      <c r="F119">
        <v>42827</v>
      </c>
      <c r="G119">
        <v>1</v>
      </c>
      <c r="I119" t="s">
        <v>234</v>
      </c>
    </row>
    <row r="120" spans="1:9" x14ac:dyDescent="0.25">
      <c r="A120" t="s">
        <v>235</v>
      </c>
      <c r="B120" s="1" t="s">
        <v>41</v>
      </c>
      <c r="C120" t="s">
        <v>26</v>
      </c>
      <c r="D120" t="s">
        <v>35</v>
      </c>
      <c r="E120">
        <v>95032</v>
      </c>
      <c r="F120">
        <v>42834</v>
      </c>
      <c r="G120">
        <v>3</v>
      </c>
      <c r="I120" t="s">
        <v>236</v>
      </c>
    </row>
    <row r="121" spans="1:9" x14ac:dyDescent="0.25">
      <c r="A121" t="s">
        <v>237</v>
      </c>
      <c r="B121" s="1" t="s">
        <v>16</v>
      </c>
      <c r="C121" t="s">
        <v>26</v>
      </c>
      <c r="D121" t="s">
        <v>64</v>
      </c>
      <c r="E121">
        <v>44358</v>
      </c>
      <c r="F121">
        <v>42841</v>
      </c>
      <c r="H121" t="s">
        <v>36</v>
      </c>
      <c r="I121" t="s">
        <v>71</v>
      </c>
    </row>
    <row r="122" spans="1:9" x14ac:dyDescent="0.2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25">
      <c r="A123" t="s">
        <v>240</v>
      </c>
      <c r="B123" s="1" t="s">
        <v>41</v>
      </c>
      <c r="C123" t="s">
        <v>26</v>
      </c>
      <c r="D123" t="s">
        <v>27</v>
      </c>
      <c r="E123">
        <v>45676</v>
      </c>
      <c r="F123">
        <v>42855</v>
      </c>
      <c r="G123">
        <v>2</v>
      </c>
      <c r="I123" t="s">
        <v>241</v>
      </c>
    </row>
    <row r="124" spans="1:9" x14ac:dyDescent="0.25">
      <c r="A124" t="s">
        <v>242</v>
      </c>
      <c r="B124" s="1" t="s">
        <v>54</v>
      </c>
      <c r="C124" t="s">
        <v>26</v>
      </c>
      <c r="D124" t="s">
        <v>18</v>
      </c>
      <c r="E124">
        <v>52036</v>
      </c>
      <c r="F124">
        <v>42862</v>
      </c>
      <c r="G124">
        <v>3</v>
      </c>
      <c r="H124" t="s">
        <v>28</v>
      </c>
      <c r="I124" t="s">
        <v>243</v>
      </c>
    </row>
    <row r="125" spans="1:9" x14ac:dyDescent="0.25">
      <c r="A125" t="s">
        <v>244</v>
      </c>
      <c r="B125" s="1" t="s">
        <v>31</v>
      </c>
      <c r="D125" t="s">
        <v>18</v>
      </c>
      <c r="E125">
        <v>30357</v>
      </c>
      <c r="F125">
        <v>42869</v>
      </c>
      <c r="G125">
        <v>5</v>
      </c>
      <c r="H125" t="s">
        <v>28</v>
      </c>
      <c r="I125" t="s">
        <v>182</v>
      </c>
    </row>
    <row r="126" spans="1:9" x14ac:dyDescent="0.25">
      <c r="A126" t="s">
        <v>245</v>
      </c>
      <c r="B126" s="1" t="s">
        <v>25</v>
      </c>
      <c r="C126" t="s">
        <v>34</v>
      </c>
      <c r="E126">
        <v>60034</v>
      </c>
      <c r="F126">
        <v>42876</v>
      </c>
      <c r="G126">
        <v>1</v>
      </c>
      <c r="H126" t="s">
        <v>36</v>
      </c>
      <c r="I126" t="s">
        <v>246</v>
      </c>
    </row>
    <row r="127" spans="1:9" x14ac:dyDescent="0.25">
      <c r="A127" t="s">
        <v>247</v>
      </c>
      <c r="B127" s="1" t="s">
        <v>25</v>
      </c>
      <c r="C127" t="s">
        <v>10</v>
      </c>
      <c r="D127" t="s">
        <v>11</v>
      </c>
      <c r="E127">
        <v>90019</v>
      </c>
      <c r="F127">
        <v>42883</v>
      </c>
      <c r="G127">
        <v>5</v>
      </c>
      <c r="I127" t="s">
        <v>248</v>
      </c>
    </row>
    <row r="128" spans="1:9" x14ac:dyDescent="0.25">
      <c r="A128" t="s">
        <v>249</v>
      </c>
      <c r="B128" s="1" t="s">
        <v>54</v>
      </c>
      <c r="D128" t="s">
        <v>18</v>
      </c>
      <c r="E128">
        <v>71494</v>
      </c>
      <c r="F128">
        <v>42890</v>
      </c>
      <c r="G128">
        <v>3</v>
      </c>
      <c r="H128" t="s">
        <v>28</v>
      </c>
      <c r="I128" t="s">
        <v>250</v>
      </c>
    </row>
    <row r="129" spans="1:9" x14ac:dyDescent="0.25">
      <c r="A129" t="s">
        <v>251</v>
      </c>
      <c r="B129" s="1" t="s">
        <v>25</v>
      </c>
      <c r="C129" t="s">
        <v>10</v>
      </c>
      <c r="D129" t="s">
        <v>27</v>
      </c>
      <c r="E129">
        <v>91953</v>
      </c>
      <c r="F129">
        <v>42897</v>
      </c>
      <c r="G129">
        <v>2</v>
      </c>
      <c r="H129" t="s">
        <v>28</v>
      </c>
      <c r="I129" t="s">
        <v>89</v>
      </c>
    </row>
    <row r="130" spans="1:9" x14ac:dyDescent="0.25">
      <c r="A130" t="s">
        <v>252</v>
      </c>
      <c r="B130" s="1" t="s">
        <v>41</v>
      </c>
      <c r="C130" t="s">
        <v>26</v>
      </c>
      <c r="D130" t="s">
        <v>27</v>
      </c>
      <c r="E130">
        <v>30402</v>
      </c>
      <c r="F130">
        <v>42904</v>
      </c>
      <c r="G130">
        <v>1</v>
      </c>
      <c r="I130" t="s">
        <v>253</v>
      </c>
    </row>
    <row r="131" spans="1:9" x14ac:dyDescent="0.25">
      <c r="A131" t="s">
        <v>254</v>
      </c>
      <c r="B131" s="1" t="s">
        <v>54</v>
      </c>
      <c r="D131" t="s">
        <v>47</v>
      </c>
      <c r="E131">
        <v>62994</v>
      </c>
      <c r="F131">
        <v>42911</v>
      </c>
      <c r="I131" t="s">
        <v>114</v>
      </c>
    </row>
    <row r="132" spans="1:9" x14ac:dyDescent="0.25">
      <c r="A132" t="s">
        <v>255</v>
      </c>
      <c r="B132" s="1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25">
      <c r="A133" t="s">
        <v>256</v>
      </c>
      <c r="B133" s="1" t="s">
        <v>39</v>
      </c>
      <c r="C133" t="s">
        <v>42</v>
      </c>
      <c r="D133" t="s">
        <v>18</v>
      </c>
      <c r="E133">
        <v>34402</v>
      </c>
      <c r="F133">
        <v>42925</v>
      </c>
      <c r="G133">
        <v>3</v>
      </c>
      <c r="H133" t="s">
        <v>19</v>
      </c>
      <c r="I133" t="s">
        <v>108</v>
      </c>
    </row>
    <row r="134" spans="1:9" x14ac:dyDescent="0.25">
      <c r="A134" t="s">
        <v>257</v>
      </c>
      <c r="B134" s="1" t="s">
        <v>16</v>
      </c>
      <c r="C134" t="s">
        <v>17</v>
      </c>
      <c r="D134" t="s">
        <v>27</v>
      </c>
      <c r="E134">
        <v>38678</v>
      </c>
      <c r="F134">
        <v>42932</v>
      </c>
      <c r="G134">
        <v>3</v>
      </c>
      <c r="H134" t="s">
        <v>19</v>
      </c>
      <c r="I134" t="s">
        <v>258</v>
      </c>
    </row>
    <row r="135" spans="1:9" x14ac:dyDescent="0.25">
      <c r="A135" t="s">
        <v>259</v>
      </c>
      <c r="B135" s="1" t="s">
        <v>41</v>
      </c>
      <c r="C135" t="s">
        <v>17</v>
      </c>
      <c r="D135" t="s">
        <v>18</v>
      </c>
      <c r="E135">
        <v>45758</v>
      </c>
      <c r="F135">
        <v>42939</v>
      </c>
      <c r="G135">
        <v>3</v>
      </c>
      <c r="I135" t="s">
        <v>225</v>
      </c>
    </row>
    <row r="136" spans="1:9" x14ac:dyDescent="0.25">
      <c r="A136" t="s">
        <v>260</v>
      </c>
      <c r="B136" s="1" t="s">
        <v>16</v>
      </c>
      <c r="C136" t="s">
        <v>42</v>
      </c>
      <c r="D136" t="s">
        <v>35</v>
      </c>
      <c r="E136">
        <v>62476</v>
      </c>
      <c r="F136">
        <v>42946</v>
      </c>
      <c r="G136">
        <v>1</v>
      </c>
      <c r="H136" t="s">
        <v>19</v>
      </c>
      <c r="I136" t="s">
        <v>138</v>
      </c>
    </row>
    <row r="137" spans="1:9" x14ac:dyDescent="0.25">
      <c r="A137" t="s">
        <v>261</v>
      </c>
      <c r="C137" t="s">
        <v>34</v>
      </c>
      <c r="D137" t="s">
        <v>47</v>
      </c>
      <c r="E137">
        <v>39280</v>
      </c>
      <c r="F137">
        <v>42953</v>
      </c>
      <c r="G137">
        <v>3</v>
      </c>
      <c r="H137" t="s">
        <v>36</v>
      </c>
      <c r="I137" t="s">
        <v>99</v>
      </c>
    </row>
    <row r="138" spans="1:9" x14ac:dyDescent="0.25">
      <c r="A138" t="s">
        <v>262</v>
      </c>
      <c r="B138" s="1" t="s">
        <v>31</v>
      </c>
      <c r="C138" t="s">
        <v>10</v>
      </c>
      <c r="D138" t="s">
        <v>35</v>
      </c>
      <c r="E138">
        <v>60335</v>
      </c>
      <c r="F138">
        <v>42960</v>
      </c>
      <c r="G138">
        <v>4</v>
      </c>
      <c r="H138" t="s">
        <v>19</v>
      </c>
      <c r="I138" t="s">
        <v>129</v>
      </c>
    </row>
    <row r="139" spans="1:9" x14ac:dyDescent="0.25">
      <c r="A139" t="s">
        <v>263</v>
      </c>
      <c r="B139" s="1" t="s">
        <v>41</v>
      </c>
      <c r="C139" t="s">
        <v>17</v>
      </c>
      <c r="D139" t="s">
        <v>18</v>
      </c>
      <c r="E139">
        <v>84968</v>
      </c>
      <c r="F139">
        <v>42967</v>
      </c>
      <c r="I139" t="s">
        <v>264</v>
      </c>
    </row>
    <row r="140" spans="1:9" x14ac:dyDescent="0.25">
      <c r="A140" t="s">
        <v>265</v>
      </c>
      <c r="B140" s="1" t="s">
        <v>41</v>
      </c>
      <c r="C140" t="s">
        <v>42</v>
      </c>
      <c r="D140" t="s">
        <v>64</v>
      </c>
      <c r="E140">
        <v>84750</v>
      </c>
      <c r="F140">
        <v>42974</v>
      </c>
      <c r="G140">
        <v>4</v>
      </c>
      <c r="H140" t="s">
        <v>36</v>
      </c>
      <c r="I140" t="s">
        <v>60</v>
      </c>
    </row>
    <row r="141" spans="1:9" x14ac:dyDescent="0.25">
      <c r="A141" t="s">
        <v>266</v>
      </c>
      <c r="B141" s="1" t="s">
        <v>54</v>
      </c>
      <c r="C141" t="s">
        <v>34</v>
      </c>
      <c r="E141">
        <v>73348</v>
      </c>
      <c r="F141">
        <v>42981</v>
      </c>
      <c r="G141">
        <v>2</v>
      </c>
      <c r="I141" t="s">
        <v>171</v>
      </c>
    </row>
    <row r="142" spans="1:9" x14ac:dyDescent="0.25">
      <c r="A142" t="s">
        <v>267</v>
      </c>
      <c r="B142" s="1" t="s">
        <v>41</v>
      </c>
      <c r="C142" t="s">
        <v>26</v>
      </c>
      <c r="D142" t="s">
        <v>27</v>
      </c>
      <c r="E142" t="s">
        <v>12</v>
      </c>
      <c r="F142">
        <v>42988</v>
      </c>
      <c r="G142">
        <v>4</v>
      </c>
      <c r="H142" t="s">
        <v>19</v>
      </c>
      <c r="I142" t="s">
        <v>14</v>
      </c>
    </row>
    <row r="143" spans="1:9" x14ac:dyDescent="0.25">
      <c r="A143" t="s">
        <v>268</v>
      </c>
      <c r="B143" s="1" t="s">
        <v>31</v>
      </c>
      <c r="C143" t="s">
        <v>42</v>
      </c>
      <c r="D143" t="s">
        <v>27</v>
      </c>
      <c r="E143">
        <v>66882</v>
      </c>
      <c r="F143">
        <v>42995</v>
      </c>
      <c r="G143">
        <v>5</v>
      </c>
      <c r="H143" t="s">
        <v>19</v>
      </c>
      <c r="I143" t="s">
        <v>85</v>
      </c>
    </row>
    <row r="144" spans="1:9" x14ac:dyDescent="0.25">
      <c r="A144" t="s">
        <v>269</v>
      </c>
      <c r="B144" s="1" t="s">
        <v>22</v>
      </c>
      <c r="C144" t="s">
        <v>42</v>
      </c>
      <c r="E144">
        <v>86775</v>
      </c>
      <c r="F144">
        <v>43002</v>
      </c>
      <c r="G144">
        <v>3</v>
      </c>
      <c r="H144" t="s">
        <v>19</v>
      </c>
      <c r="I144" t="s">
        <v>95</v>
      </c>
    </row>
    <row r="145" spans="1:9" x14ac:dyDescent="0.25">
      <c r="A145" t="s">
        <v>270</v>
      </c>
      <c r="B145" s="1" t="s">
        <v>41</v>
      </c>
      <c r="C145" t="s">
        <v>26</v>
      </c>
      <c r="D145" t="s">
        <v>47</v>
      </c>
      <c r="E145">
        <v>91620</v>
      </c>
      <c r="F145">
        <v>43009</v>
      </c>
      <c r="I145" t="s">
        <v>271</v>
      </c>
    </row>
    <row r="146" spans="1:9" x14ac:dyDescent="0.25">
      <c r="A146" t="s">
        <v>272</v>
      </c>
      <c r="B146" s="1" t="s">
        <v>16</v>
      </c>
      <c r="E146">
        <v>94148</v>
      </c>
      <c r="F146">
        <v>43016</v>
      </c>
      <c r="G146">
        <v>2</v>
      </c>
      <c r="I146" t="s">
        <v>273</v>
      </c>
    </row>
    <row r="147" spans="1:9" x14ac:dyDescent="0.25">
      <c r="A147" t="s">
        <v>274</v>
      </c>
      <c r="B147" s="1" t="s">
        <v>39</v>
      </c>
      <c r="C147" t="s">
        <v>26</v>
      </c>
      <c r="D147" t="s">
        <v>64</v>
      </c>
      <c r="E147">
        <v>35627</v>
      </c>
      <c r="F147">
        <v>43023</v>
      </c>
      <c r="G147">
        <v>5</v>
      </c>
      <c r="H147" t="s">
        <v>36</v>
      </c>
      <c r="I147" t="s">
        <v>258</v>
      </c>
    </row>
    <row r="148" spans="1:9" x14ac:dyDescent="0.25">
      <c r="A148" t="s">
        <v>275</v>
      </c>
      <c r="B148" s="1" t="s">
        <v>25</v>
      </c>
      <c r="C148" t="s">
        <v>42</v>
      </c>
      <c r="D148" t="s">
        <v>27</v>
      </c>
      <c r="E148">
        <v>57141</v>
      </c>
      <c r="F148">
        <v>43030</v>
      </c>
      <c r="G148">
        <v>2</v>
      </c>
      <c r="I148" t="s">
        <v>264</v>
      </c>
    </row>
    <row r="149" spans="1:9" x14ac:dyDescent="0.25">
      <c r="A149" t="s">
        <v>276</v>
      </c>
      <c r="B149" s="1" t="s">
        <v>54</v>
      </c>
      <c r="C149" t="s">
        <v>26</v>
      </c>
      <c r="D149" t="s">
        <v>64</v>
      </c>
      <c r="E149">
        <v>65270</v>
      </c>
      <c r="F149">
        <v>43037</v>
      </c>
      <c r="G149">
        <v>1</v>
      </c>
      <c r="I149" t="s">
        <v>277</v>
      </c>
    </row>
    <row r="150" spans="1:9" x14ac:dyDescent="0.25">
      <c r="A150" t="s">
        <v>278</v>
      </c>
      <c r="B150" s="1" t="s">
        <v>54</v>
      </c>
      <c r="D150" t="s">
        <v>47</v>
      </c>
      <c r="E150">
        <v>67335</v>
      </c>
      <c r="F150">
        <v>43044</v>
      </c>
      <c r="G150">
        <v>1</v>
      </c>
      <c r="H150" t="s">
        <v>19</v>
      </c>
      <c r="I150" t="s">
        <v>144</v>
      </c>
    </row>
    <row r="151" spans="1:9" x14ac:dyDescent="0.25">
      <c r="A151" t="s">
        <v>279</v>
      </c>
      <c r="B151" s="1" t="s">
        <v>39</v>
      </c>
      <c r="C151" t="s">
        <v>42</v>
      </c>
      <c r="D151" t="s">
        <v>35</v>
      </c>
      <c r="E151">
        <v>98475</v>
      </c>
      <c r="F151">
        <v>43051</v>
      </c>
      <c r="G151">
        <v>5</v>
      </c>
      <c r="H151" t="s">
        <v>19</v>
      </c>
      <c r="I151" t="s">
        <v>280</v>
      </c>
    </row>
  </sheetData>
  <conditionalFormatting sqref="A2:I151">
    <cfRule type="containsBlanks" dxfId="0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4F81-BBFC-4D48-9CAB-775768803BCB}">
  <dimension ref="E3:I21"/>
  <sheetViews>
    <sheetView tabSelected="1" workbookViewId="0">
      <selection activeCell="F10" sqref="F10"/>
    </sheetView>
  </sheetViews>
  <sheetFormatPr defaultRowHeight="15" x14ac:dyDescent="0.25"/>
  <cols>
    <col min="7" max="7" width="31.140625" bestFit="1" customWidth="1"/>
    <col min="9" max="9" width="16" bestFit="1" customWidth="1"/>
  </cols>
  <sheetData>
    <row r="3" spans="6:9" ht="15.75" x14ac:dyDescent="0.25">
      <c r="F3" s="2" t="s">
        <v>281</v>
      </c>
      <c r="G3" s="3" t="s">
        <v>282</v>
      </c>
    </row>
    <row r="5" spans="6:9" ht="18.75" x14ac:dyDescent="0.3">
      <c r="F5" s="15" t="s">
        <v>293</v>
      </c>
    </row>
    <row r="6" spans="6:9" ht="15.75" thickBot="1" x14ac:dyDescent="0.3"/>
    <row r="7" spans="6:9" ht="20.100000000000001" customHeight="1" x14ac:dyDescent="0.25">
      <c r="G7" s="6" t="s">
        <v>288</v>
      </c>
      <c r="H7" s="7" t="s">
        <v>283</v>
      </c>
      <c r="I7" s="8">
        <f>SUM(Sheet1[Salary])</f>
        <v>9411892</v>
      </c>
    </row>
    <row r="8" spans="6:9" ht="20.100000000000001" customHeight="1" x14ac:dyDescent="0.25">
      <c r="G8" s="9" t="s">
        <v>289</v>
      </c>
      <c r="H8" s="5" t="s">
        <v>284</v>
      </c>
      <c r="I8" s="10">
        <f>AVERAGE(Sheet1[Salary])</f>
        <v>66280.929577464791</v>
      </c>
    </row>
    <row r="9" spans="6:9" ht="20.100000000000001" customHeight="1" x14ac:dyDescent="0.25">
      <c r="G9" s="9" t="s">
        <v>290</v>
      </c>
      <c r="H9" s="5" t="s">
        <v>285</v>
      </c>
      <c r="I9" s="11">
        <f>COUNT(Sheet1[Salary])</f>
        <v>142</v>
      </c>
    </row>
    <row r="10" spans="6:9" ht="20.100000000000001" customHeight="1" x14ac:dyDescent="0.25">
      <c r="G10" s="9" t="s">
        <v>291</v>
      </c>
      <c r="H10" s="5" t="s">
        <v>286</v>
      </c>
      <c r="I10" s="11">
        <f>MIN(Sheet1[Salary])</f>
        <v>30280</v>
      </c>
    </row>
    <row r="11" spans="6:9" ht="20.100000000000001" customHeight="1" thickBot="1" x14ac:dyDescent="0.3">
      <c r="G11" s="12" t="s">
        <v>292</v>
      </c>
      <c r="H11" s="13" t="s">
        <v>287</v>
      </c>
      <c r="I11" s="14">
        <f>MAX(Sheet1[Salary])</f>
        <v>99621</v>
      </c>
    </row>
    <row r="21" spans="5:5" ht="18" x14ac:dyDescent="0.25">
      <c r="E21" s="4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1F066-2B2C-4718-8206-E76E44420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Excel basic formulas Part-1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 S</dc:creator>
  <cp:lastModifiedBy>Malavika S</cp:lastModifiedBy>
  <dcterms:created xsi:type="dcterms:W3CDTF">2025-11-18T09:10:28Z</dcterms:created>
  <dcterms:modified xsi:type="dcterms:W3CDTF">2025-11-24T07:29:45Z</dcterms:modified>
</cp:coreProperties>
</file>