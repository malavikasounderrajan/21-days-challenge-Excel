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8_{1B0FDBDF-B5FC-4D58-8CAC-87B998A4F696}" xr6:coauthVersionLast="47" xr6:coauthVersionMax="47" xr10:uidLastSave="{00000000-0000-0000-0000-000000000000}"/>
  <bookViews>
    <workbookView xWindow="-120" yWindow="-120" windowWidth="20730" windowHeight="11160" activeTab="1" xr2:uid="{3938FFF9-804E-4F8E-A02B-7C3C627B7E2D}"/>
  </bookViews>
  <sheets>
    <sheet name="employee details" sheetId="2" r:id="rId1"/>
    <sheet name="Text functions practice" sheetId="4" r:id="rId2"/>
  </sheets>
  <definedNames>
    <definedName name="ExternalData_1" localSheetId="0" hidden="1">'employee details'!$A$1:$I$151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6" i="4"/>
  <c r="K6" i="4"/>
  <c r="K7" i="4"/>
  <c r="L147" i="4"/>
  <c r="L148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6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2C827-B889-40D1-BE5D-C90EC9D7A24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<sst xmlns="http://schemas.openxmlformats.org/spreadsheetml/2006/main" count="1695" uniqueCount="294">
  <si>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</si>
  <si>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</si>
  <si>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</si>
  <si>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</si>
  <si>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</si>
  <si>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</si>
  <si>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</si>
  <si>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</si>
  <si>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</si>
  <si>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</si>
  <si>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</si>
  <si>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</si>
  <si>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</si>
  <si>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</si>
  <si>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</si>
  <si>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</si>
  <si>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</si>
  <si>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</si>
  <si>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</si>
  <si>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</si>
  <si>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</si>
  <si>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</si>
  <si>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</si>
  <si>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</si>
  <si>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</si>
  <si>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</si>
  <si>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</si>
  <si>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</si>
  <si>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</si>
  <si>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</si>
  <si>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</si>
  <si>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</si>
  <si>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</si>
  <si>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</si>
  <si>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</si>
  <si>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</si>
  <si>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</si>
  <si>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</si>
  <si>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</si>
  <si>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</si>
  <si>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</si>
  <si>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</si>
  <si>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</si>
  <si>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</si>
  <si>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</si>
  <si>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</si>
  <si>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</si>
  <si>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</si>
  <si>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</si>
  <si>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</si>
  <si>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</si>
  <si>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</si>
  <si>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</si>
  <si>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</si>
  <si>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</si>
  <si>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</si>
  <si>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</si>
  <si>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</si>
  <si>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</si>
  <si>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</si>
  <si>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</si>
  <si>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</si>
  <si>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</si>
  <si>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</si>
  <si>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</si>
  <si>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</si>
  <si>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</si>
  <si>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</si>
  <si>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</si>
  <si>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</si>
  <si>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</si>
  <si>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</si>
  <si>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</si>
  <si>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</si>
  <si>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</si>
  <si>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</si>
  <si>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</si>
  <si>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</si>
  <si>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</si>
  <si>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</si>
  <si>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</si>
  <si>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</si>
  <si>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</si>
  <si>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</si>
  <si>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</si>
  <si>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</si>
  <si>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</si>
  <si>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</si>
  <si>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</si>
  <si>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</si>
  <si>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</si>
  <si>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</si>
  <si>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</si>
  <si>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</si>
  <si>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</si>
  <si>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</si>
  <si>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</si>
  <si>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</si>
  <si>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</si>
  <si>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</si>
  <si>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</si>
  <si>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</si>
  <si>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</si>
  <si>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</si>
  <si>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</si>
  <si>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</si>
  <si>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</si>
  <si>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</si>
  <si>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</si>
  <si>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</si>
  <si>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</si>
  <si>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</si>
  <si>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</si>
  <si>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</si>
  <si>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</si>
  <si>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</si>
  <si>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</si>
  <si>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</si>
  <si>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</si>
  <si>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</si>
  <si>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</si>
  <si>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</si>
  <si>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</si>
  <si>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</si>
  <si>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</si>
  <si>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</si>
  <si>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</si>
  <si>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</si>
  <si>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</si>
  <si>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</si>
  <si>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</si>
  <si>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</si>
  <si>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</si>
  <si>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</si>
  <si>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</si>
  <si>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</si>
  <si>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</si>
  <si>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</si>
  <si>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</si>
  <si>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</si>
  <si>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</si>
  <si>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</si>
  <si>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</si>
  <si>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</si>
  <si>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</si>
  <si>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</si>
  <si>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</si>
  <si>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</si>
  <si>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</si>
  <si>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</si>
  <si>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</si>
  <si>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</si>
  <si>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</si>
  <si>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</si>
  <si>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</si>
  <si>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</si>
  <si>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</si>
  <si>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</si>
  <si>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</si>
  <si>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</si>
  <si>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</si>
  <si>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</si>
  <si>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</si>
  <si>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</si>
  <si>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</si>
  <si>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</si>
  <si>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</si>
  <si>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</si>
  <si>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</si>
  <si>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</si>
  <si>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</si>
  <si>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</si>
  <si>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</si>
  <si>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</si>
  <si>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</si>
  <si>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</si>
  <si>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</si>
  <si>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</si>
  <si>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</si>
  <si>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</si>
  <si>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</si>
  <si>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</si>
  <si>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</si>
  <si>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</si>
  <si>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</si>
  <si>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</si>
  <si>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</si>
  <si>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</si>
  <si>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</si>
  <si>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</si>
  <si>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</si>
  <si>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</si>
  <si>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</si>
  <si>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</si>
  <si>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</si>
  <si>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</si>
  <si>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</si>
  <si>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</si>
  <si>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</si>
  <si>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</si>
  <si>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</si>
  <si>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</si>
  <si>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</si>
  <si>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</si>
  <si>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</si>
  <si>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</si>
  <si>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</si>
  <si>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</si>
  <si>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</si>
  <si>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</si>
  <si>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</si>
  <si>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</si>
  <si>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</si>
  <si>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</si>
  <si>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</si>
  <si>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</si>
  <si>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</si>
  <si>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</si>
  <si>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</si>
  <si>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</si>
  <si>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</si>
  <si>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</si>
  <si>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</si>
  <si>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</si>
  <si>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</si>
  <si>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</si>
  <si>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</si>
  <si>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</si>
  <si>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</si>
  <si>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</si>
  <si>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</si>
  <si>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</si>
  <si>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</si>
  <si>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</si>
  <si>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</si>
  <si>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</si>
  <si>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</si>
  <si>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</si>
  <si>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</si>
  <si>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</si>
  <si>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</si>
  <si>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</si>
  <si>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</si>
  <si>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</si>
  <si>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</si>
  <si>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</si>
  <si>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</si>
  <si>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</si>
  <si>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</si>
  <si>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</si>
  <si>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</si>
  <si>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</si>
  <si>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</si>
  <si>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</si>
  <si>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</si>
  <si>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</si>
  <si>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</si>
  <si>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</si>
  <si>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</si>
  <si>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</si>
  <si>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</si>
  <si>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</si>
  <si>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</si>
  <si>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</si>
  <si>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</si>
  <si>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</si>
  <si>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</si>
  <si>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</si>
  <si>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</si>
  <si>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</si>
  <si>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</si>
  <si>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</si>
  <si>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</si>
  <si>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</si>
  <si>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</si>
  <si>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</si>
  <si>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</si>
  <si>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</si>
  <si>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</si>
  <si>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</si>
  <si>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</si>
  <si>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CLEANED DATASET</t>
  </si>
  <si>
    <t>Left()</t>
  </si>
  <si>
    <t>Right()</t>
  </si>
  <si>
    <t>Mid()</t>
  </si>
  <si>
    <t>Upper()</t>
  </si>
  <si>
    <t>Lower()</t>
  </si>
  <si>
    <t>Proper()</t>
  </si>
  <si>
    <t>Column1</t>
  </si>
  <si>
    <t>First Name</t>
  </si>
  <si>
    <t>Column2</t>
  </si>
  <si>
    <t>Column3</t>
  </si>
  <si>
    <t>Column4</t>
  </si>
  <si>
    <t>Task 5  Text funtions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</si>
</sst>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" fillId="3" borderId="0" xfId="0" applyFont="1" applyFill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0" borderId="3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35">
    <dxf>
      <font>
        <color rgb="FFFFFF00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BB39D6A-38F8-4232-857C-B0D4E336D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E70C6F-F38E-4C74-9E17-B5D220CC033B}" autoFormatId="16" applyNumberFormats="0" applyBorderFormats="0" applyFontFormats="0" applyPatternFormats="0" applyAlignmentFormats="0" applyWidthHeightFormats="0">
  <queryTableRefresh nextId="12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23408-5B88-43B7-90A5-C39C7072D581}" name="Sheet1" displayName="Sheet1" ref="A1:I152" tableType="queryTable" totalsRowCount="1">
  <autoFilter ref="A1:I151" xr:uid="{B5D23408-5B88-43B7-90A5-C39C7072D581}"/>
  <tableColumns count="9">
    <tableColumn id="1" xr3:uid="{40F687EC-86D8-44D1-BBC8-502EC05208CB}" uniqueName="1" name="Employee ID" queryTableFieldId="1" dataDxfId="34" totalsRowDxfId="33"/>
    <tableColumn id="2" xr3:uid="{51BBBA46-7ED9-48F9-A806-D1530A67F88E}" uniqueName="2" name="Name" queryTableFieldId="2" dataDxfId="32" totalsRowDxfId="31"/>
    <tableColumn id="3" xr3:uid="{9B12A76C-411C-4634-A249-E17DAC6ECEA6}" uniqueName="3" name="Department" queryTableFieldId="3" dataDxfId="30" totalsRowDxfId="29"/>
    <tableColumn id="4" xr3:uid="{CF4B2D71-3D16-41AC-ABCC-15D69949B291}" uniqueName="4" name="Country" queryTableFieldId="4" dataDxfId="28" totalsRowDxfId="27"/>
    <tableColumn id="5" xr3:uid="{DFF0FA0F-516D-43B8-9988-18D7C25F508D}" uniqueName="5" name="Salary" queryTableFieldId="5"/>
    <tableColumn id="6" xr3:uid="{9C27655F-CB26-4C7A-A428-51B6FA2C5354}" uniqueName="6" name="Date of Joining" queryTableFieldId="6"/>
    <tableColumn id="7" xr3:uid="{0CD82C20-E914-4487-B35F-8D892604E220}" uniqueName="7" name="Performance Rating" queryTableFieldId="7"/>
    <tableColumn id="8" xr3:uid="{A7C5E03B-ACA0-4F66-9488-C0440AD95DCB}" uniqueName="8" name="Gender" queryTableFieldId="8" dataDxfId="26" totalsRowDxfId="25"/>
    <tableColumn id="9" xr3:uid="{367B19E6-F4FA-4519-A9F6-8EDDA11BAA23}" uniqueName="9" name="Email" queryTableFieldId="9" dataDxfId="24" totalsRow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5A2FF1-22DB-44FE-9ECD-44A728744EA0}" name="Table2" displayName="Table2" ref="A5:I148" totalsRowShown="0" headerRowDxfId="22" dataDxfId="21" headerRowBorderDxfId="20">
  <tableColumns count="9">
    <tableColumn id="1" xr3:uid="{FB7C40B3-3B2D-43E3-87B6-B7D56D0F422B}" name="Employee ID" dataDxfId="19"/>
    <tableColumn id="2" xr3:uid="{C08D4363-9C31-4743-9600-C534EFAA65F8}" name="Name" dataDxfId="18"/>
    <tableColumn id="3" xr3:uid="{DFB61F58-805C-4921-9F98-0D1E23436933}" name="Department" dataDxfId="17"/>
    <tableColumn id="4" xr3:uid="{4645B0B2-2113-45E3-AB3F-F5CDED9F685E}" name="Country" dataDxfId="16"/>
    <tableColumn id="5" xr3:uid="{24209BCE-70D9-4B67-8969-37E1642B2A90}" name="Salary" dataDxfId="13"/>
    <tableColumn id="6" xr3:uid="{72E93976-AFF0-4190-B5A2-CD9E5D6D91BA}" name="Date of Joining" dataDxfId="11"/>
    <tableColumn id="7" xr3:uid="{799CEE0D-D2AC-4543-A4AE-1CA14F6E44D4}" name="Performance Rating" dataDxfId="12"/>
    <tableColumn id="8" xr3:uid="{2FCF8E8E-AA0F-4386-92A6-1383EACCE776}" name="Gender" dataDxfId="15"/>
    <tableColumn id="9" xr3:uid="{CDC5367B-F441-4517-829D-6DE0DBECCF7A}" name="Email" dataDxfId="1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EE141A-3F07-4C66-99A1-10A971DF3258}" name="Table3" displayName="Table3" ref="K4:P148" totalsRowShown="0" headerRowDxfId="1" headerRowBorderDxfId="9" tableBorderDxfId="10" totalsRowBorderDxfId="8">
  <tableColumns count="6">
    <tableColumn id="1" xr3:uid="{7F37C604-7B3D-4DC1-AF2D-39B8DD5149D9}" name="First Name" dataDxfId="7">
      <calculatedColumnFormula>LEFT(Table2[[#This Row],[Name]], FIND(" ",Table2[[#This Row],[Name]],2))</calculatedColumnFormula>
    </tableColumn>
    <tableColumn id="2" xr3:uid="{D2359282-4DAC-46CB-84F9-EBD72896932E}" name="Employee ID" dataDxfId="6">
      <calculatedColumnFormula>RIGHT(Table2[[#This Row],[Employee ID]],4)</calculatedColumnFormula>
    </tableColumn>
    <tableColumn id="3" xr3:uid="{ADE0B02E-F376-46DB-962C-4E9D390F7F12}" name="Column1" dataDxfId="5">
      <calculatedColumnFormula>MID(Table2[[#This Row],[Salary]],2,3)</calculatedColumnFormula>
    </tableColumn>
    <tableColumn id="4" xr3:uid="{0A7C1A70-865B-45C8-B5C7-EE6E760E5295}" name="Column2" dataDxfId="4">
      <calculatedColumnFormula>UPPER(Table2[[#This Row],[Name]])</calculatedColumnFormula>
    </tableColumn>
    <tableColumn id="5" xr3:uid="{CAFD689B-39C2-43DD-A7EE-627DFF6F4BC3}" name="Column3" dataDxfId="3">
      <calculatedColumnFormula>LOWER(Table2[[#This Row],[Country]])</calculatedColumnFormula>
    </tableColumn>
    <tableColumn id="6" xr3:uid="{3284F31B-000D-49BD-8289-F8B597EB92AC}" name="Column4" dataDxfId="2">
      <calculatedColumnFormula>PROPER(Table2[[#This Row],[Gender]])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C2561-E603-4739-AE0F-2E4E970631E9}">
  <dimension ref="A1:I151"/>
  <sheetViews>
    <sheetView workbookViewId="0">
      <selection activeCell="J1" sqref="J1"/>
    </sheetView>
  </sheetViews>
  <sheetFormatPr defaultRowHeight="15" x14ac:dyDescent="0.25"/>
  <cols>
    <col min="1" max="1" width="14.42578125" bestFit="1" customWidth="1"/>
    <col min="2" max="2" width="12.140625" style="1" bestFit="1" customWidth="1"/>
    <col min="3" max="3" width="14" bestFit="1" customWidth="1"/>
    <col min="4" max="4" width="10.28515625" bestFit="1" customWidth="1"/>
    <col min="5" max="5" width="8.5703125" bestFit="1" customWidth="1"/>
    <col min="6" max="6" width="16.5703125" bestFit="1" customWidth="1"/>
    <col min="7" max="7" width="21" bestFit="1" customWidth="1"/>
    <col min="8" max="8" width="10" bestFit="1" customWidth="1"/>
    <col min="9" max="9" width="22.140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25">
      <c r="A3" t="s">
        <v>15</v>
      </c>
      <c r="B3" s="1" t="s">
        <v>16</v>
      </c>
      <c r="C3" t="s">
        <v>17</v>
      </c>
      <c r="D3" t="s">
        <v>18</v>
      </c>
      <c r="E3">
        <v>54255</v>
      </c>
      <c r="F3">
        <v>42015</v>
      </c>
      <c r="G3">
        <v>1</v>
      </c>
      <c r="H3" t="s">
        <v>19</v>
      </c>
      <c r="I3" t="s">
        <v>20</v>
      </c>
    </row>
    <row r="4" spans="1:9" x14ac:dyDescent="0.25">
      <c r="A4" t="s">
        <v>21</v>
      </c>
      <c r="B4" s="1" t="s">
        <v>22</v>
      </c>
      <c r="C4" t="s">
        <v>10</v>
      </c>
      <c r="D4" t="s">
        <v>18</v>
      </c>
      <c r="E4">
        <v>63184</v>
      </c>
      <c r="F4">
        <v>42022</v>
      </c>
      <c r="G4">
        <v>2</v>
      </c>
      <c r="I4" t="s">
        <v>23</v>
      </c>
    </row>
    <row r="5" spans="1:9" x14ac:dyDescent="0.25">
      <c r="A5" t="s">
        <v>24</v>
      </c>
      <c r="B5" s="1" t="s">
        <v>25</v>
      </c>
      <c r="C5" t="s">
        <v>26</v>
      </c>
      <c r="D5" t="s">
        <v>27</v>
      </c>
      <c r="E5">
        <v>94406</v>
      </c>
      <c r="F5">
        <v>42029</v>
      </c>
      <c r="G5">
        <v>1</v>
      </c>
      <c r="H5" t="s">
        <v>28</v>
      </c>
      <c r="I5" t="s">
        <v>29</v>
      </c>
    </row>
    <row r="6" spans="1:9" x14ac:dyDescent="0.25">
      <c r="A6" t="s">
        <v>30</v>
      </c>
      <c r="B6" s="1" t="s">
        <v>31</v>
      </c>
      <c r="C6" t="s">
        <v>26</v>
      </c>
      <c r="D6" t="s">
        <v>18</v>
      </c>
      <c r="E6">
        <v>64120</v>
      </c>
      <c r="F6">
        <v>42036</v>
      </c>
      <c r="G6">
        <v>1</v>
      </c>
      <c r="H6" t="s">
        <v>28</v>
      </c>
      <c r="I6" t="s">
        <v>32</v>
      </c>
    </row>
    <row r="7" spans="1:9" x14ac:dyDescent="0.25">
      <c r="A7" t="s">
        <v>33</v>
      </c>
      <c r="B7" s="1" t="s">
        <v>22</v>
      </c>
      <c r="C7" t="s">
        <v>34</v>
      </c>
      <c r="D7" t="s">
        <v>35</v>
      </c>
      <c r="E7">
        <v>78421</v>
      </c>
      <c r="F7">
        <v>42043</v>
      </c>
      <c r="G7">
        <v>2</v>
      </c>
      <c r="H7" t="s">
        <v>36</v>
      </c>
      <c r="I7" t="s">
        <v>37</v>
      </c>
    </row>
    <row r="8" spans="1:9" x14ac:dyDescent="0.25">
      <c r="A8" t="s">
        <v>38</v>
      </c>
      <c r="B8" s="1" t="s">
        <v>39</v>
      </c>
      <c r="C8" t="s">
        <v>26</v>
      </c>
      <c r="E8">
        <v>67721</v>
      </c>
      <c r="F8">
        <v>42050</v>
      </c>
      <c r="H8" t="s">
        <v>28</v>
      </c>
      <c r="I8" t="s">
        <v>29</v>
      </c>
    </row>
    <row r="9" spans="1:9" x14ac:dyDescent="0.25">
      <c r="A9" t="s">
        <v>40</v>
      </c>
      <c r="B9" s="1" t="s">
        <v>41</v>
      </c>
      <c r="C9" t="s">
        <v>42</v>
      </c>
      <c r="E9">
        <v>35364</v>
      </c>
      <c r="F9">
        <v>42057</v>
      </c>
      <c r="G9">
        <v>2</v>
      </c>
      <c r="H9" t="s">
        <v>19</v>
      </c>
      <c r="I9" t="s">
        <v>43</v>
      </c>
    </row>
    <row r="10" spans="1:9" x14ac:dyDescent="0.25">
      <c r="A10" t="s">
        <v>44</v>
      </c>
      <c r="B10" s="1" t="s">
        <v>22</v>
      </c>
      <c r="C10" t="s">
        <v>34</v>
      </c>
      <c r="D10" t="s">
        <v>18</v>
      </c>
      <c r="E10">
        <v>97881</v>
      </c>
      <c r="F10">
        <v>42064</v>
      </c>
      <c r="H10" t="s">
        <v>36</v>
      </c>
      <c r="I10" t="s">
        <v>45</v>
      </c>
    </row>
    <row r="11" spans="1:9" x14ac:dyDescent="0.25">
      <c r="A11" t="s">
        <v>46</v>
      </c>
      <c r="B11" s="1" t="s">
        <v>41</v>
      </c>
      <c r="C11" t="s">
        <v>17</v>
      </c>
      <c r="D11" t="s">
        <v>47</v>
      </c>
      <c r="E11">
        <v>91846</v>
      </c>
      <c r="F11">
        <v>42071</v>
      </c>
      <c r="H11" t="s">
        <v>28</v>
      </c>
      <c r="I11" t="s">
        <v>48</v>
      </c>
    </row>
    <row r="12" spans="1:9" x14ac:dyDescent="0.25">
      <c r="A12" t="s">
        <v>49</v>
      </c>
      <c r="B12" s="1" t="s">
        <v>39</v>
      </c>
      <c r="C12" t="s">
        <v>10</v>
      </c>
      <c r="D12" t="s">
        <v>47</v>
      </c>
      <c r="E12">
        <v>64247</v>
      </c>
      <c r="F12">
        <v>42078</v>
      </c>
      <c r="G12">
        <v>1</v>
      </c>
      <c r="H12" t="s">
        <v>36</v>
      </c>
      <c r="I12" t="s">
        <v>50</v>
      </c>
    </row>
    <row r="13" spans="1:9" x14ac:dyDescent="0.25">
      <c r="A13" t="s">
        <v>51</v>
      </c>
      <c r="B13" s="1" t="s">
        <v>39</v>
      </c>
      <c r="C13" t="s">
        <v>34</v>
      </c>
      <c r="D13" t="s">
        <v>27</v>
      </c>
      <c r="E13">
        <v>91180</v>
      </c>
      <c r="F13">
        <v>42085</v>
      </c>
      <c r="G13">
        <v>5</v>
      </c>
      <c r="H13" t="s">
        <v>28</v>
      </c>
      <c r="I13" t="s">
        <v>52</v>
      </c>
    </row>
    <row r="14" spans="1:9" x14ac:dyDescent="0.25">
      <c r="A14" t="s">
        <v>53</v>
      </c>
      <c r="B14" s="1" t="s">
        <v>54</v>
      </c>
      <c r="C14" t="s">
        <v>26</v>
      </c>
      <c r="E14">
        <v>96418</v>
      </c>
      <c r="F14">
        <v>42092</v>
      </c>
      <c r="G14">
        <v>5</v>
      </c>
      <c r="H14" t="s">
        <v>28</v>
      </c>
      <c r="I14" t="s">
        <v>20</v>
      </c>
    </row>
    <row r="15" spans="1:9" x14ac:dyDescent="0.25">
      <c r="A15" t="s">
        <v>55</v>
      </c>
      <c r="B15" s="1" t="s">
        <v>39</v>
      </c>
      <c r="D15" t="s">
        <v>35</v>
      </c>
      <c r="E15">
        <v>62158</v>
      </c>
      <c r="F15">
        <v>42099</v>
      </c>
      <c r="G15">
        <v>4</v>
      </c>
      <c r="I15" t="s">
        <v>56</v>
      </c>
    </row>
    <row r="16" spans="1:9" x14ac:dyDescent="0.25">
      <c r="A16" t="s">
        <v>57</v>
      </c>
      <c r="B16" s="1" t="s">
        <v>31</v>
      </c>
      <c r="C16" t="s">
        <v>17</v>
      </c>
      <c r="E16">
        <v>59894</v>
      </c>
      <c r="F16">
        <v>42106</v>
      </c>
      <c r="G16">
        <v>2</v>
      </c>
      <c r="H16" t="s">
        <v>28</v>
      </c>
      <c r="I16" t="s">
        <v>58</v>
      </c>
    </row>
    <row r="17" spans="1:9" x14ac:dyDescent="0.25">
      <c r="A17" t="s">
        <v>59</v>
      </c>
      <c r="C17" t="s">
        <v>34</v>
      </c>
      <c r="D17" t="s">
        <v>35</v>
      </c>
      <c r="E17">
        <v>92443</v>
      </c>
      <c r="F17">
        <v>42113</v>
      </c>
      <c r="G17">
        <v>3</v>
      </c>
      <c r="H17" t="s">
        <v>19</v>
      </c>
      <c r="I17" t="s">
        <v>60</v>
      </c>
    </row>
    <row r="18" spans="1:9" x14ac:dyDescent="0.25">
      <c r="A18" t="s">
        <v>61</v>
      </c>
      <c r="B18" s="1" t="s">
        <v>54</v>
      </c>
      <c r="D18" t="s">
        <v>18</v>
      </c>
      <c r="E18">
        <v>90271</v>
      </c>
      <c r="F18">
        <v>42120</v>
      </c>
      <c r="I18" t="s">
        <v>62</v>
      </c>
    </row>
    <row r="19" spans="1:9" x14ac:dyDescent="0.25">
      <c r="A19" t="s">
        <v>63</v>
      </c>
      <c r="B19" s="1" t="s">
        <v>31</v>
      </c>
      <c r="C19" t="s">
        <v>10</v>
      </c>
      <c r="D19" t="s">
        <v>64</v>
      </c>
      <c r="E19">
        <v>41341</v>
      </c>
      <c r="F19">
        <v>42127</v>
      </c>
      <c r="G19">
        <v>1</v>
      </c>
      <c r="H19" t="s">
        <v>19</v>
      </c>
      <c r="I19" t="s">
        <v>65</v>
      </c>
    </row>
    <row r="20" spans="1:9" x14ac:dyDescent="0.25">
      <c r="A20" t="s">
        <v>66</v>
      </c>
      <c r="B20" s="1" t="s">
        <v>22</v>
      </c>
      <c r="C20" t="s">
        <v>10</v>
      </c>
      <c r="D20" t="s">
        <v>47</v>
      </c>
      <c r="E20">
        <v>73602</v>
      </c>
      <c r="F20">
        <v>42134</v>
      </c>
      <c r="I20" t="s">
        <v>67</v>
      </c>
    </row>
    <row r="21" spans="1:9" x14ac:dyDescent="0.25">
      <c r="A21" t="s">
        <v>68</v>
      </c>
      <c r="B21" s="1" t="s">
        <v>16</v>
      </c>
      <c r="D21" t="s">
        <v>35</v>
      </c>
      <c r="E21">
        <v>67531</v>
      </c>
      <c r="F21">
        <v>42141</v>
      </c>
      <c r="G21">
        <v>5</v>
      </c>
      <c r="H21" t="s">
        <v>36</v>
      </c>
      <c r="I21" t="s">
        <v>69</v>
      </c>
    </row>
    <row r="22" spans="1:9" x14ac:dyDescent="0.25">
      <c r="A22" t="s">
        <v>70</v>
      </c>
      <c r="B22" s="1" t="s">
        <v>31</v>
      </c>
      <c r="C22" t="s">
        <v>17</v>
      </c>
      <c r="D22" t="s">
        <v>27</v>
      </c>
      <c r="E22" t="s">
        <v>12</v>
      </c>
      <c r="F22">
        <v>42148</v>
      </c>
      <c r="G22">
        <v>2</v>
      </c>
      <c r="H22" t="s">
        <v>19</v>
      </c>
      <c r="I22" t="s">
        <v>71</v>
      </c>
    </row>
    <row r="23" spans="1:9" x14ac:dyDescent="0.25">
      <c r="A23" t="s">
        <v>72</v>
      </c>
      <c r="B23" s="1" t="s">
        <v>31</v>
      </c>
      <c r="C23" t="s">
        <v>17</v>
      </c>
      <c r="E23">
        <v>98922</v>
      </c>
      <c r="F23">
        <v>42155</v>
      </c>
      <c r="G23">
        <v>4</v>
      </c>
      <c r="I23" t="s">
        <v>73</v>
      </c>
    </row>
    <row r="24" spans="1:9" x14ac:dyDescent="0.25">
      <c r="A24" t="s">
        <v>74</v>
      </c>
      <c r="B24" s="1" t="s">
        <v>16</v>
      </c>
      <c r="C24" t="s">
        <v>10</v>
      </c>
      <c r="D24" t="s">
        <v>35</v>
      </c>
      <c r="E24">
        <v>38333</v>
      </c>
      <c r="F24">
        <v>42162</v>
      </c>
      <c r="G24">
        <v>5</v>
      </c>
      <c r="I24" t="s">
        <v>75</v>
      </c>
    </row>
    <row r="25" spans="1:9" x14ac:dyDescent="0.25">
      <c r="A25" t="s">
        <v>76</v>
      </c>
      <c r="B25" s="1" t="s">
        <v>22</v>
      </c>
      <c r="C25" t="s">
        <v>42</v>
      </c>
      <c r="D25" t="s">
        <v>47</v>
      </c>
      <c r="E25">
        <v>36515</v>
      </c>
      <c r="F25">
        <v>42169</v>
      </c>
      <c r="G25">
        <v>3</v>
      </c>
      <c r="H25" t="s">
        <v>28</v>
      </c>
      <c r="I25" t="s">
        <v>77</v>
      </c>
    </row>
    <row r="26" spans="1:9" x14ac:dyDescent="0.25">
      <c r="A26" t="s">
        <v>78</v>
      </c>
      <c r="B26" s="1" t="s">
        <v>39</v>
      </c>
      <c r="C26" t="s">
        <v>10</v>
      </c>
      <c r="E26">
        <v>91005</v>
      </c>
      <c r="F26">
        <v>42176</v>
      </c>
      <c r="G26">
        <v>1</v>
      </c>
      <c r="H26" t="s">
        <v>19</v>
      </c>
      <c r="I26" t="s">
        <v>79</v>
      </c>
    </row>
    <row r="27" spans="1:9" x14ac:dyDescent="0.25">
      <c r="A27" t="s">
        <v>80</v>
      </c>
      <c r="B27" s="1" t="s">
        <v>41</v>
      </c>
      <c r="D27" t="s">
        <v>11</v>
      </c>
      <c r="E27">
        <v>52272</v>
      </c>
      <c r="F27">
        <v>42183</v>
      </c>
      <c r="G27">
        <v>3</v>
      </c>
      <c r="I27" t="s">
        <v>81</v>
      </c>
    </row>
    <row r="28" spans="1:9" x14ac:dyDescent="0.25">
      <c r="A28" t="s">
        <v>82</v>
      </c>
      <c r="B28" s="1" t="s">
        <v>16</v>
      </c>
      <c r="C28" t="s">
        <v>26</v>
      </c>
      <c r="D28" t="s">
        <v>18</v>
      </c>
      <c r="E28">
        <v>76518</v>
      </c>
      <c r="F28">
        <v>42190</v>
      </c>
      <c r="G28">
        <v>2</v>
      </c>
      <c r="H28" t="s">
        <v>36</v>
      </c>
      <c r="I28" t="s">
        <v>83</v>
      </c>
    </row>
    <row r="29" spans="1:9" x14ac:dyDescent="0.25">
      <c r="A29" t="s">
        <v>84</v>
      </c>
      <c r="B29" s="1" t="s">
        <v>22</v>
      </c>
      <c r="C29" t="s">
        <v>34</v>
      </c>
      <c r="D29" t="s">
        <v>47</v>
      </c>
      <c r="E29">
        <v>41448</v>
      </c>
      <c r="F29">
        <v>42197</v>
      </c>
      <c r="G29">
        <v>3</v>
      </c>
      <c r="H29" t="s">
        <v>19</v>
      </c>
      <c r="I29" t="s">
        <v>85</v>
      </c>
    </row>
    <row r="30" spans="1:9" x14ac:dyDescent="0.25">
      <c r="A30" t="s">
        <v>86</v>
      </c>
      <c r="B30" s="1" t="s">
        <v>25</v>
      </c>
      <c r="C30" t="s">
        <v>17</v>
      </c>
      <c r="D30" t="s">
        <v>47</v>
      </c>
      <c r="E30">
        <v>49282</v>
      </c>
      <c r="F30">
        <v>42204</v>
      </c>
      <c r="G30">
        <v>2</v>
      </c>
      <c r="H30" t="s">
        <v>36</v>
      </c>
      <c r="I30" t="s">
        <v>87</v>
      </c>
    </row>
    <row r="31" spans="1:9" x14ac:dyDescent="0.25">
      <c r="A31" t="s">
        <v>88</v>
      </c>
      <c r="B31" s="1" t="s">
        <v>54</v>
      </c>
      <c r="C31" t="s">
        <v>42</v>
      </c>
      <c r="D31" t="s">
        <v>47</v>
      </c>
      <c r="E31">
        <v>92959</v>
      </c>
      <c r="F31">
        <v>42211</v>
      </c>
      <c r="G31">
        <v>5</v>
      </c>
      <c r="I31" t="s">
        <v>89</v>
      </c>
    </row>
    <row r="32" spans="1:9" x14ac:dyDescent="0.2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25">
      <c r="A33" t="s">
        <v>92</v>
      </c>
      <c r="B33" s="1" t="s">
        <v>16</v>
      </c>
      <c r="C33" t="s">
        <v>17</v>
      </c>
      <c r="D33" t="s">
        <v>18</v>
      </c>
      <c r="E33">
        <v>92299</v>
      </c>
      <c r="F33">
        <v>42225</v>
      </c>
      <c r="G33">
        <v>3</v>
      </c>
      <c r="H33" t="s">
        <v>28</v>
      </c>
      <c r="I33" t="s">
        <v>93</v>
      </c>
    </row>
    <row r="34" spans="1:9" x14ac:dyDescent="0.25">
      <c r="A34" t="s">
        <v>94</v>
      </c>
      <c r="B34" s="1" t="s">
        <v>39</v>
      </c>
      <c r="C34" t="s">
        <v>17</v>
      </c>
      <c r="E34">
        <v>95586</v>
      </c>
      <c r="F34">
        <v>42232</v>
      </c>
      <c r="G34">
        <v>3</v>
      </c>
      <c r="H34" t="s">
        <v>19</v>
      </c>
      <c r="I34" t="s">
        <v>95</v>
      </c>
    </row>
    <row r="35" spans="1:9" x14ac:dyDescent="0.25">
      <c r="A35" t="s">
        <v>96</v>
      </c>
      <c r="B35" s="1" t="s">
        <v>41</v>
      </c>
      <c r="D35" t="s">
        <v>27</v>
      </c>
      <c r="E35">
        <v>95367</v>
      </c>
      <c r="F35">
        <v>42239</v>
      </c>
      <c r="H35" t="s">
        <v>28</v>
      </c>
      <c r="I35" t="s">
        <v>97</v>
      </c>
    </row>
    <row r="36" spans="1:9" x14ac:dyDescent="0.25">
      <c r="A36" t="s">
        <v>98</v>
      </c>
      <c r="B36" s="1" t="s">
        <v>25</v>
      </c>
      <c r="C36" t="s">
        <v>26</v>
      </c>
      <c r="D36" t="s">
        <v>64</v>
      </c>
      <c r="E36">
        <v>79549</v>
      </c>
      <c r="F36">
        <v>42246</v>
      </c>
      <c r="G36">
        <v>3</v>
      </c>
      <c r="I36" t="s">
        <v>99</v>
      </c>
    </row>
    <row r="37" spans="1:9" x14ac:dyDescent="0.25">
      <c r="A37" t="s">
        <v>100</v>
      </c>
      <c r="B37" s="1" t="s">
        <v>22</v>
      </c>
      <c r="D37" t="s">
        <v>47</v>
      </c>
      <c r="E37">
        <v>54463</v>
      </c>
      <c r="F37">
        <v>42253</v>
      </c>
      <c r="G37">
        <v>4</v>
      </c>
      <c r="H37" t="s">
        <v>28</v>
      </c>
      <c r="I37" t="s">
        <v>14</v>
      </c>
    </row>
    <row r="38" spans="1:9" x14ac:dyDescent="0.25">
      <c r="A38" t="s">
        <v>101</v>
      </c>
      <c r="B38" s="1" t="s">
        <v>22</v>
      </c>
      <c r="C38" t="s">
        <v>34</v>
      </c>
      <c r="D38" t="s">
        <v>27</v>
      </c>
      <c r="E38">
        <v>89781</v>
      </c>
      <c r="F38">
        <v>42260</v>
      </c>
      <c r="H38" t="s">
        <v>36</v>
      </c>
      <c r="I38" t="s">
        <v>102</v>
      </c>
    </row>
    <row r="39" spans="1:9" x14ac:dyDescent="0.25">
      <c r="A39" t="s">
        <v>103</v>
      </c>
      <c r="B39" s="1" t="s">
        <v>22</v>
      </c>
      <c r="C39" t="s">
        <v>17</v>
      </c>
      <c r="E39">
        <v>64796</v>
      </c>
      <c r="F39">
        <v>42267</v>
      </c>
      <c r="H39" t="s">
        <v>19</v>
      </c>
      <c r="I39" t="s">
        <v>104</v>
      </c>
    </row>
    <row r="40" spans="1:9" x14ac:dyDescent="0.25">
      <c r="A40" t="s">
        <v>105</v>
      </c>
      <c r="B40" s="1" t="s">
        <v>25</v>
      </c>
      <c r="C40" t="s">
        <v>42</v>
      </c>
      <c r="D40" t="s">
        <v>47</v>
      </c>
      <c r="E40">
        <v>52093</v>
      </c>
      <c r="F40">
        <v>42274</v>
      </c>
      <c r="G40">
        <v>5</v>
      </c>
      <c r="I40" t="s">
        <v>106</v>
      </c>
    </row>
    <row r="41" spans="1:9" x14ac:dyDescent="0.25">
      <c r="A41" t="s">
        <v>107</v>
      </c>
      <c r="B41" s="1" t="s">
        <v>41</v>
      </c>
      <c r="C41" t="s">
        <v>17</v>
      </c>
      <c r="D41" t="s">
        <v>47</v>
      </c>
      <c r="E41">
        <v>48224</v>
      </c>
      <c r="F41">
        <v>42281</v>
      </c>
      <c r="G41">
        <v>3</v>
      </c>
      <c r="I41" t="s">
        <v>108</v>
      </c>
    </row>
    <row r="42" spans="1:9" x14ac:dyDescent="0.25">
      <c r="A42" t="s">
        <v>109</v>
      </c>
      <c r="B42" s="1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25">
      <c r="A43" t="s">
        <v>111</v>
      </c>
      <c r="B43" s="1" t="s">
        <v>22</v>
      </c>
      <c r="C43" t="s">
        <v>34</v>
      </c>
      <c r="D43" t="s">
        <v>18</v>
      </c>
      <c r="E43">
        <v>33956</v>
      </c>
      <c r="F43">
        <v>42295</v>
      </c>
      <c r="I43" t="s">
        <v>112</v>
      </c>
    </row>
    <row r="44" spans="1:9" x14ac:dyDescent="0.25">
      <c r="A44" t="s">
        <v>113</v>
      </c>
      <c r="B44" s="1" t="s">
        <v>54</v>
      </c>
      <c r="D44" t="s">
        <v>64</v>
      </c>
      <c r="E44">
        <v>64913</v>
      </c>
      <c r="F44">
        <v>42302</v>
      </c>
      <c r="G44">
        <v>1</v>
      </c>
      <c r="H44" t="s">
        <v>36</v>
      </c>
      <c r="I44" t="s">
        <v>114</v>
      </c>
    </row>
    <row r="45" spans="1:9" x14ac:dyDescent="0.25">
      <c r="A45" t="s">
        <v>115</v>
      </c>
      <c r="B45" s="1" t="s">
        <v>22</v>
      </c>
      <c r="C45" t="s">
        <v>42</v>
      </c>
      <c r="D45" t="s">
        <v>64</v>
      </c>
      <c r="E45">
        <v>35326</v>
      </c>
      <c r="F45">
        <v>42309</v>
      </c>
      <c r="H45" t="s">
        <v>36</v>
      </c>
      <c r="I45" t="s">
        <v>116</v>
      </c>
    </row>
    <row r="46" spans="1:9" x14ac:dyDescent="0.25">
      <c r="A46" t="s">
        <v>117</v>
      </c>
      <c r="B46" s="1" t="s">
        <v>41</v>
      </c>
      <c r="C46" t="s">
        <v>10</v>
      </c>
      <c r="E46">
        <v>81610</v>
      </c>
      <c r="F46">
        <v>42316</v>
      </c>
      <c r="G46">
        <v>1</v>
      </c>
      <c r="I46" t="s">
        <v>118</v>
      </c>
    </row>
    <row r="47" spans="1:9" x14ac:dyDescent="0.25">
      <c r="A47" t="s">
        <v>119</v>
      </c>
      <c r="C47" t="s">
        <v>17</v>
      </c>
      <c r="E47">
        <v>58962</v>
      </c>
      <c r="F47">
        <v>42323</v>
      </c>
      <c r="G47">
        <v>3</v>
      </c>
      <c r="H47" t="s">
        <v>19</v>
      </c>
      <c r="I47" t="s">
        <v>20</v>
      </c>
    </row>
    <row r="48" spans="1:9" x14ac:dyDescent="0.25">
      <c r="A48" t="s">
        <v>120</v>
      </c>
      <c r="B48" s="1" t="s">
        <v>41</v>
      </c>
      <c r="C48" t="s">
        <v>34</v>
      </c>
      <c r="D48" t="s">
        <v>18</v>
      </c>
      <c r="E48">
        <v>92701</v>
      </c>
      <c r="F48">
        <v>42330</v>
      </c>
      <c r="G48">
        <v>3</v>
      </c>
      <c r="H48" t="s">
        <v>19</v>
      </c>
      <c r="I48" t="s">
        <v>121</v>
      </c>
    </row>
    <row r="49" spans="1:9" x14ac:dyDescent="0.25">
      <c r="A49" t="s">
        <v>122</v>
      </c>
      <c r="B49" s="1" t="s">
        <v>41</v>
      </c>
      <c r="C49" t="s">
        <v>17</v>
      </c>
      <c r="D49" t="s">
        <v>35</v>
      </c>
      <c r="E49">
        <v>58245</v>
      </c>
      <c r="F49">
        <v>42337</v>
      </c>
      <c r="G49">
        <v>4</v>
      </c>
      <c r="I49" t="s">
        <v>123</v>
      </c>
    </row>
    <row r="50" spans="1:9" x14ac:dyDescent="0.25">
      <c r="A50" t="s">
        <v>124</v>
      </c>
      <c r="B50" s="1" t="s">
        <v>25</v>
      </c>
      <c r="C50" t="s">
        <v>10</v>
      </c>
      <c r="E50">
        <v>66513</v>
      </c>
      <c r="F50">
        <v>42344</v>
      </c>
      <c r="G50">
        <v>2</v>
      </c>
      <c r="H50" t="s">
        <v>19</v>
      </c>
      <c r="I50" t="s">
        <v>37</v>
      </c>
    </row>
    <row r="51" spans="1:9" x14ac:dyDescent="0.25">
      <c r="A51" t="s">
        <v>125</v>
      </c>
      <c r="B51" s="1" t="s">
        <v>16</v>
      </c>
      <c r="C51" t="s">
        <v>17</v>
      </c>
      <c r="D51" t="s">
        <v>18</v>
      </c>
      <c r="E51">
        <v>78720</v>
      </c>
      <c r="F51">
        <v>42351</v>
      </c>
      <c r="G51">
        <v>5</v>
      </c>
      <c r="H51" t="s">
        <v>36</v>
      </c>
      <c r="I51" t="s">
        <v>110</v>
      </c>
    </row>
    <row r="52" spans="1:9" x14ac:dyDescent="0.25">
      <c r="A52" t="s">
        <v>126</v>
      </c>
      <c r="B52" s="1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25">
      <c r="A53" t="s">
        <v>128</v>
      </c>
      <c r="B53" s="1" t="s">
        <v>39</v>
      </c>
      <c r="C53" t="s">
        <v>26</v>
      </c>
      <c r="D53" t="s">
        <v>35</v>
      </c>
      <c r="E53">
        <v>39423</v>
      </c>
      <c r="F53">
        <v>42365</v>
      </c>
      <c r="G53">
        <v>5</v>
      </c>
      <c r="I53" t="s">
        <v>129</v>
      </c>
    </row>
    <row r="54" spans="1:9" x14ac:dyDescent="0.25">
      <c r="A54" t="s">
        <v>130</v>
      </c>
      <c r="B54" s="1" t="s">
        <v>16</v>
      </c>
      <c r="C54" t="s">
        <v>42</v>
      </c>
      <c r="E54">
        <v>30280</v>
      </c>
      <c r="F54">
        <v>42372</v>
      </c>
      <c r="G54">
        <v>1</v>
      </c>
      <c r="I54" t="s">
        <v>131</v>
      </c>
    </row>
    <row r="55" spans="1:9" x14ac:dyDescent="0.25">
      <c r="A55" t="s">
        <v>132</v>
      </c>
      <c r="B55" s="1" t="s">
        <v>16</v>
      </c>
      <c r="C55" t="s">
        <v>10</v>
      </c>
      <c r="D55" t="s">
        <v>47</v>
      </c>
      <c r="E55">
        <v>33352</v>
      </c>
      <c r="F55">
        <v>42379</v>
      </c>
      <c r="G55">
        <v>3</v>
      </c>
      <c r="H55" t="s">
        <v>36</v>
      </c>
      <c r="I55" t="s">
        <v>71</v>
      </c>
    </row>
    <row r="56" spans="1:9" x14ac:dyDescent="0.25">
      <c r="A56" t="s">
        <v>133</v>
      </c>
      <c r="B56" s="1" t="s">
        <v>54</v>
      </c>
      <c r="C56" t="s">
        <v>42</v>
      </c>
      <c r="D56" t="s">
        <v>47</v>
      </c>
      <c r="E56">
        <v>75633</v>
      </c>
      <c r="F56">
        <v>42386</v>
      </c>
      <c r="G56">
        <v>5</v>
      </c>
      <c r="H56" t="s">
        <v>19</v>
      </c>
      <c r="I56" t="s">
        <v>134</v>
      </c>
    </row>
    <row r="57" spans="1:9" x14ac:dyDescent="0.25">
      <c r="A57" t="s">
        <v>135</v>
      </c>
      <c r="B57" s="1" t="s">
        <v>41</v>
      </c>
      <c r="D57" t="s">
        <v>27</v>
      </c>
      <c r="E57">
        <v>74815</v>
      </c>
      <c r="F57">
        <v>42393</v>
      </c>
      <c r="G57">
        <v>5</v>
      </c>
      <c r="H57" t="s">
        <v>36</v>
      </c>
      <c r="I57" t="s">
        <v>136</v>
      </c>
    </row>
    <row r="58" spans="1:9" x14ac:dyDescent="0.25">
      <c r="A58" t="s">
        <v>137</v>
      </c>
      <c r="B58" s="1" t="s">
        <v>25</v>
      </c>
      <c r="C58" t="s">
        <v>26</v>
      </c>
      <c r="D58" t="s">
        <v>64</v>
      </c>
      <c r="E58">
        <v>60011</v>
      </c>
      <c r="F58">
        <v>42400</v>
      </c>
      <c r="G58">
        <v>1</v>
      </c>
      <c r="H58" t="s">
        <v>28</v>
      </c>
      <c r="I58" t="s">
        <v>138</v>
      </c>
    </row>
    <row r="59" spans="1:9" x14ac:dyDescent="0.25">
      <c r="A59" t="s">
        <v>139</v>
      </c>
      <c r="B59" s="1" t="s">
        <v>16</v>
      </c>
      <c r="D59" t="s">
        <v>35</v>
      </c>
      <c r="E59">
        <v>96949</v>
      </c>
      <c r="F59">
        <v>42407</v>
      </c>
      <c r="G59">
        <v>3</v>
      </c>
      <c r="I59" t="s">
        <v>85</v>
      </c>
    </row>
    <row r="60" spans="1:9" x14ac:dyDescent="0.25">
      <c r="A60" t="s">
        <v>140</v>
      </c>
      <c r="B60" s="1" t="s">
        <v>39</v>
      </c>
      <c r="C60" t="s">
        <v>42</v>
      </c>
      <c r="E60">
        <v>84924</v>
      </c>
      <c r="F60">
        <v>42414</v>
      </c>
      <c r="G60">
        <v>5</v>
      </c>
      <c r="H60" t="s">
        <v>28</v>
      </c>
      <c r="I60" t="s">
        <v>141</v>
      </c>
    </row>
    <row r="61" spans="1:9" x14ac:dyDescent="0.25">
      <c r="A61" t="s">
        <v>142</v>
      </c>
      <c r="B61" s="1" t="s">
        <v>39</v>
      </c>
      <c r="C61" t="s">
        <v>10</v>
      </c>
      <c r="D61" t="s">
        <v>27</v>
      </c>
      <c r="E61">
        <v>82033</v>
      </c>
      <c r="F61">
        <v>42421</v>
      </c>
      <c r="G61">
        <v>1</v>
      </c>
      <c r="I61" t="s">
        <v>118</v>
      </c>
    </row>
    <row r="62" spans="1:9" x14ac:dyDescent="0.2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25">
      <c r="A63" t="s">
        <v>145</v>
      </c>
      <c r="B63" s="1" t="s">
        <v>16</v>
      </c>
      <c r="D63" t="s">
        <v>64</v>
      </c>
      <c r="E63">
        <v>31499</v>
      </c>
      <c r="F63">
        <v>42435</v>
      </c>
      <c r="G63">
        <v>2</v>
      </c>
      <c r="I63" t="s">
        <v>102</v>
      </c>
    </row>
    <row r="64" spans="1:9" x14ac:dyDescent="0.25">
      <c r="A64" t="s">
        <v>146</v>
      </c>
      <c r="B64" s="1" t="s">
        <v>41</v>
      </c>
      <c r="C64" t="s">
        <v>34</v>
      </c>
      <c r="D64" t="s">
        <v>47</v>
      </c>
      <c r="E64">
        <v>97981</v>
      </c>
      <c r="F64">
        <v>42442</v>
      </c>
      <c r="G64">
        <v>5</v>
      </c>
      <c r="H64" t="s">
        <v>36</v>
      </c>
      <c r="I64" t="s">
        <v>147</v>
      </c>
    </row>
    <row r="65" spans="1:9" x14ac:dyDescent="0.25">
      <c r="A65" t="s">
        <v>148</v>
      </c>
      <c r="B65" s="1" t="s">
        <v>16</v>
      </c>
      <c r="C65" t="s">
        <v>17</v>
      </c>
      <c r="D65" t="s">
        <v>27</v>
      </c>
      <c r="E65">
        <v>36541</v>
      </c>
      <c r="F65">
        <v>42449</v>
      </c>
      <c r="G65">
        <v>2</v>
      </c>
      <c r="H65" t="s">
        <v>19</v>
      </c>
      <c r="I65" t="s">
        <v>149</v>
      </c>
    </row>
    <row r="66" spans="1:9" x14ac:dyDescent="0.25">
      <c r="A66" t="s">
        <v>150</v>
      </c>
      <c r="B66" s="1" t="s">
        <v>25</v>
      </c>
      <c r="C66" t="s">
        <v>34</v>
      </c>
      <c r="D66" t="s">
        <v>35</v>
      </c>
      <c r="E66">
        <v>84737</v>
      </c>
      <c r="F66">
        <v>42456</v>
      </c>
      <c r="G66">
        <v>1</v>
      </c>
      <c r="H66" t="s">
        <v>28</v>
      </c>
      <c r="I66" t="s">
        <v>151</v>
      </c>
    </row>
    <row r="67" spans="1:9" x14ac:dyDescent="0.25">
      <c r="A67" t="s">
        <v>152</v>
      </c>
      <c r="B67" s="1" t="s">
        <v>39</v>
      </c>
      <c r="C67" t="s">
        <v>10</v>
      </c>
      <c r="D67" t="s">
        <v>35</v>
      </c>
      <c r="E67">
        <v>33468</v>
      </c>
      <c r="F67">
        <v>42463</v>
      </c>
      <c r="G67">
        <v>4</v>
      </c>
      <c r="H67" t="s">
        <v>28</v>
      </c>
      <c r="I67" t="s">
        <v>153</v>
      </c>
    </row>
    <row r="68" spans="1:9" x14ac:dyDescent="0.25">
      <c r="A68" t="s">
        <v>154</v>
      </c>
      <c r="B68" s="1" t="s">
        <v>39</v>
      </c>
      <c r="D68" t="s">
        <v>64</v>
      </c>
      <c r="E68">
        <v>96365</v>
      </c>
      <c r="F68">
        <v>42470</v>
      </c>
      <c r="G68">
        <v>3</v>
      </c>
      <c r="H68" t="s">
        <v>19</v>
      </c>
      <c r="I68" t="s">
        <v>155</v>
      </c>
    </row>
    <row r="69" spans="1:9" x14ac:dyDescent="0.25">
      <c r="A69" t="s">
        <v>156</v>
      </c>
      <c r="B69" s="1" t="s">
        <v>22</v>
      </c>
      <c r="C69" t="s">
        <v>26</v>
      </c>
      <c r="D69" t="s">
        <v>35</v>
      </c>
      <c r="E69">
        <v>61942</v>
      </c>
      <c r="F69">
        <v>42477</v>
      </c>
      <c r="G69">
        <v>3</v>
      </c>
      <c r="H69" t="s">
        <v>36</v>
      </c>
      <c r="I69" t="s">
        <v>157</v>
      </c>
    </row>
    <row r="70" spans="1:9" x14ac:dyDescent="0.25">
      <c r="A70" t="s">
        <v>158</v>
      </c>
      <c r="B70" s="1" t="s">
        <v>39</v>
      </c>
      <c r="C70" t="s">
        <v>10</v>
      </c>
      <c r="D70" t="s">
        <v>47</v>
      </c>
      <c r="E70">
        <v>41467</v>
      </c>
      <c r="F70">
        <v>42484</v>
      </c>
      <c r="G70">
        <v>2</v>
      </c>
      <c r="I70" t="s">
        <v>73</v>
      </c>
    </row>
    <row r="71" spans="1:9" x14ac:dyDescent="0.25">
      <c r="A71" t="s">
        <v>159</v>
      </c>
      <c r="B71" s="1" t="s">
        <v>54</v>
      </c>
      <c r="C71" t="s">
        <v>10</v>
      </c>
      <c r="D71" t="s">
        <v>35</v>
      </c>
      <c r="E71">
        <v>77096</v>
      </c>
      <c r="F71">
        <v>42491</v>
      </c>
      <c r="G71">
        <v>1</v>
      </c>
      <c r="I71" t="s">
        <v>160</v>
      </c>
    </row>
    <row r="72" spans="1:9" x14ac:dyDescent="0.25">
      <c r="A72" t="s">
        <v>161</v>
      </c>
      <c r="B72" s="1" t="s">
        <v>16</v>
      </c>
      <c r="C72" t="s">
        <v>26</v>
      </c>
      <c r="D72" t="s">
        <v>64</v>
      </c>
      <c r="E72">
        <v>69952</v>
      </c>
      <c r="F72">
        <v>42498</v>
      </c>
      <c r="G72">
        <v>5</v>
      </c>
      <c r="H72" t="s">
        <v>36</v>
      </c>
      <c r="I72" t="s">
        <v>14</v>
      </c>
    </row>
    <row r="73" spans="1:9" x14ac:dyDescent="0.25">
      <c r="A73" t="s">
        <v>162</v>
      </c>
      <c r="B73" s="1" t="s">
        <v>16</v>
      </c>
      <c r="C73" t="s">
        <v>42</v>
      </c>
      <c r="D73" t="s">
        <v>27</v>
      </c>
      <c r="E73">
        <v>85065</v>
      </c>
      <c r="F73">
        <v>42505</v>
      </c>
      <c r="G73">
        <v>3</v>
      </c>
      <c r="I73" t="s">
        <v>163</v>
      </c>
    </row>
    <row r="74" spans="1:9" x14ac:dyDescent="0.25">
      <c r="A74" t="s">
        <v>164</v>
      </c>
      <c r="B74" s="1" t="s">
        <v>54</v>
      </c>
      <c r="C74" t="s">
        <v>42</v>
      </c>
      <c r="D74" t="s">
        <v>35</v>
      </c>
      <c r="E74">
        <v>56512</v>
      </c>
      <c r="F74">
        <v>42512</v>
      </c>
      <c r="H74" t="s">
        <v>19</v>
      </c>
      <c r="I74" t="s">
        <v>48</v>
      </c>
    </row>
    <row r="75" spans="1:9" x14ac:dyDescent="0.25">
      <c r="A75" t="s">
        <v>165</v>
      </c>
      <c r="B75" s="1" t="s">
        <v>25</v>
      </c>
      <c r="C75" t="s">
        <v>26</v>
      </c>
      <c r="D75" t="s">
        <v>35</v>
      </c>
      <c r="E75">
        <v>91101</v>
      </c>
      <c r="F75">
        <v>42519</v>
      </c>
      <c r="G75">
        <v>4</v>
      </c>
      <c r="H75" t="s">
        <v>36</v>
      </c>
      <c r="I75" t="s">
        <v>147</v>
      </c>
    </row>
    <row r="76" spans="1:9" x14ac:dyDescent="0.25">
      <c r="A76" t="s">
        <v>166</v>
      </c>
      <c r="B76" s="1" t="s">
        <v>39</v>
      </c>
      <c r="D76" t="s">
        <v>18</v>
      </c>
      <c r="E76">
        <v>41243</v>
      </c>
      <c r="F76">
        <v>42526</v>
      </c>
      <c r="I76" t="s">
        <v>93</v>
      </c>
    </row>
    <row r="77" spans="1:9" x14ac:dyDescent="0.25">
      <c r="A77" t="s">
        <v>167</v>
      </c>
      <c r="C77" t="s">
        <v>26</v>
      </c>
      <c r="D77" t="s">
        <v>11</v>
      </c>
      <c r="E77">
        <v>96142</v>
      </c>
      <c r="F77">
        <v>42533</v>
      </c>
      <c r="G77">
        <v>1</v>
      </c>
      <c r="H77" t="s">
        <v>19</v>
      </c>
      <c r="I77" t="s">
        <v>168</v>
      </c>
    </row>
    <row r="78" spans="1:9" x14ac:dyDescent="0.25">
      <c r="A78" t="s">
        <v>169</v>
      </c>
      <c r="B78" s="1" t="s">
        <v>16</v>
      </c>
      <c r="C78" t="s">
        <v>34</v>
      </c>
      <c r="D78" t="s">
        <v>35</v>
      </c>
      <c r="E78">
        <v>94301</v>
      </c>
      <c r="F78">
        <v>42540</v>
      </c>
      <c r="G78">
        <v>1</v>
      </c>
      <c r="H78" t="s">
        <v>28</v>
      </c>
      <c r="I78" t="s">
        <v>118</v>
      </c>
    </row>
    <row r="79" spans="1:9" x14ac:dyDescent="0.25">
      <c r="A79" t="s">
        <v>170</v>
      </c>
      <c r="B79" s="1" t="s">
        <v>31</v>
      </c>
      <c r="D79" t="s">
        <v>47</v>
      </c>
      <c r="E79">
        <v>69166</v>
      </c>
      <c r="F79">
        <v>42547</v>
      </c>
      <c r="G79">
        <v>1</v>
      </c>
      <c r="H79" t="s">
        <v>36</v>
      </c>
      <c r="I79" t="s">
        <v>171</v>
      </c>
    </row>
    <row r="80" spans="1:9" x14ac:dyDescent="0.25">
      <c r="A80" t="s">
        <v>172</v>
      </c>
      <c r="B80" s="1" t="s">
        <v>39</v>
      </c>
      <c r="D80" t="s">
        <v>47</v>
      </c>
      <c r="E80">
        <v>78245</v>
      </c>
      <c r="F80">
        <v>42554</v>
      </c>
      <c r="G80">
        <v>2</v>
      </c>
      <c r="I80" t="s">
        <v>173</v>
      </c>
    </row>
    <row r="81" spans="1:9" x14ac:dyDescent="0.25">
      <c r="A81" t="s">
        <v>174</v>
      </c>
      <c r="B81" s="1" t="s">
        <v>41</v>
      </c>
      <c r="C81" t="s">
        <v>26</v>
      </c>
      <c r="D81" t="s">
        <v>27</v>
      </c>
      <c r="E81">
        <v>66079</v>
      </c>
      <c r="F81">
        <v>42561</v>
      </c>
      <c r="G81">
        <v>2</v>
      </c>
      <c r="H81" t="s">
        <v>19</v>
      </c>
      <c r="I81" t="s">
        <v>175</v>
      </c>
    </row>
    <row r="82" spans="1:9" x14ac:dyDescent="0.25">
      <c r="A82" t="s">
        <v>176</v>
      </c>
      <c r="B82" s="1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25">
      <c r="A83" t="s">
        <v>177</v>
      </c>
      <c r="B83" s="1" t="s">
        <v>31</v>
      </c>
      <c r="C83" t="s">
        <v>26</v>
      </c>
      <c r="D83" t="s">
        <v>27</v>
      </c>
      <c r="E83">
        <v>95621</v>
      </c>
      <c r="F83">
        <v>42575</v>
      </c>
      <c r="G83">
        <v>3</v>
      </c>
      <c r="H83" t="s">
        <v>36</v>
      </c>
      <c r="I83" t="s">
        <v>178</v>
      </c>
    </row>
    <row r="84" spans="1:9" x14ac:dyDescent="0.25">
      <c r="A84" t="s">
        <v>179</v>
      </c>
      <c r="B84" s="1" t="s">
        <v>16</v>
      </c>
      <c r="C84" t="s">
        <v>34</v>
      </c>
      <c r="D84" t="s">
        <v>47</v>
      </c>
      <c r="E84">
        <v>42262</v>
      </c>
      <c r="F84">
        <v>42582</v>
      </c>
      <c r="G84">
        <v>1</v>
      </c>
      <c r="I84" t="s">
        <v>180</v>
      </c>
    </row>
    <row r="85" spans="1:9" x14ac:dyDescent="0.25">
      <c r="A85" t="s">
        <v>181</v>
      </c>
      <c r="B85" s="1" t="s">
        <v>39</v>
      </c>
      <c r="C85" t="s">
        <v>26</v>
      </c>
      <c r="D85" t="s">
        <v>35</v>
      </c>
      <c r="E85">
        <v>99621</v>
      </c>
      <c r="F85">
        <v>42589</v>
      </c>
      <c r="H85" t="s">
        <v>19</v>
      </c>
      <c r="I85" t="s">
        <v>182</v>
      </c>
    </row>
    <row r="86" spans="1:9" x14ac:dyDescent="0.25">
      <c r="A86" t="s">
        <v>183</v>
      </c>
      <c r="B86" s="1" t="s">
        <v>25</v>
      </c>
      <c r="C86" t="s">
        <v>42</v>
      </c>
      <c r="D86" t="s">
        <v>35</v>
      </c>
      <c r="E86">
        <v>44682</v>
      </c>
      <c r="F86">
        <v>42596</v>
      </c>
      <c r="G86">
        <v>4</v>
      </c>
      <c r="H86" t="s">
        <v>36</v>
      </c>
      <c r="I86" t="s">
        <v>112</v>
      </c>
    </row>
    <row r="87" spans="1:9" x14ac:dyDescent="0.25">
      <c r="A87" t="s">
        <v>184</v>
      </c>
      <c r="B87" s="1" t="s">
        <v>41</v>
      </c>
      <c r="C87" t="s">
        <v>10</v>
      </c>
      <c r="E87">
        <v>35163</v>
      </c>
      <c r="F87">
        <v>42603</v>
      </c>
      <c r="G87">
        <v>5</v>
      </c>
      <c r="H87" t="s">
        <v>19</v>
      </c>
      <c r="I87" t="s">
        <v>185</v>
      </c>
    </row>
    <row r="88" spans="1:9" x14ac:dyDescent="0.25">
      <c r="A88" t="s">
        <v>186</v>
      </c>
      <c r="B88" s="1" t="s">
        <v>41</v>
      </c>
      <c r="C88" t="s">
        <v>34</v>
      </c>
      <c r="D88" t="s">
        <v>35</v>
      </c>
      <c r="E88">
        <v>33483</v>
      </c>
      <c r="F88">
        <v>42610</v>
      </c>
      <c r="G88">
        <v>4</v>
      </c>
      <c r="H88" t="s">
        <v>28</v>
      </c>
      <c r="I88" t="s">
        <v>187</v>
      </c>
    </row>
    <row r="89" spans="1:9" x14ac:dyDescent="0.25">
      <c r="A89" t="s">
        <v>188</v>
      </c>
      <c r="B89" s="1" t="s">
        <v>39</v>
      </c>
      <c r="C89" t="s">
        <v>17</v>
      </c>
      <c r="D89" t="s">
        <v>18</v>
      </c>
      <c r="E89">
        <v>55303</v>
      </c>
      <c r="F89">
        <v>42617</v>
      </c>
      <c r="G89">
        <v>4</v>
      </c>
      <c r="H89" t="s">
        <v>28</v>
      </c>
      <c r="I89" t="s">
        <v>77</v>
      </c>
    </row>
    <row r="90" spans="1:9" x14ac:dyDescent="0.25">
      <c r="A90" t="s">
        <v>189</v>
      </c>
      <c r="B90" s="1" t="s">
        <v>41</v>
      </c>
      <c r="C90" t="s">
        <v>34</v>
      </c>
      <c r="E90">
        <v>63434</v>
      </c>
      <c r="F90">
        <v>42624</v>
      </c>
      <c r="G90">
        <v>3</v>
      </c>
      <c r="I90" t="s">
        <v>190</v>
      </c>
    </row>
    <row r="91" spans="1:9" x14ac:dyDescent="0.25">
      <c r="A91" t="s">
        <v>191</v>
      </c>
      <c r="B91" s="1" t="s">
        <v>31</v>
      </c>
      <c r="D91" t="s">
        <v>64</v>
      </c>
      <c r="E91">
        <v>38830</v>
      </c>
      <c r="F91">
        <v>42631</v>
      </c>
      <c r="G91">
        <v>3</v>
      </c>
      <c r="H91" t="s">
        <v>19</v>
      </c>
      <c r="I91" t="s">
        <v>77</v>
      </c>
    </row>
    <row r="92" spans="1:9" x14ac:dyDescent="0.25">
      <c r="A92" t="s">
        <v>192</v>
      </c>
      <c r="C92" t="s">
        <v>42</v>
      </c>
      <c r="D92" t="s">
        <v>47</v>
      </c>
      <c r="E92">
        <v>50741</v>
      </c>
      <c r="F92">
        <v>42638</v>
      </c>
      <c r="G92">
        <v>3</v>
      </c>
      <c r="H92" t="s">
        <v>13</v>
      </c>
      <c r="I92" t="s">
        <v>160</v>
      </c>
    </row>
    <row r="93" spans="1:9" x14ac:dyDescent="0.25">
      <c r="A93" t="s">
        <v>193</v>
      </c>
      <c r="B93" s="1" t="s">
        <v>22</v>
      </c>
      <c r="C93" t="s">
        <v>17</v>
      </c>
      <c r="D93" t="s">
        <v>64</v>
      </c>
      <c r="E93">
        <v>69420</v>
      </c>
      <c r="F93">
        <v>42645</v>
      </c>
      <c r="G93">
        <v>1</v>
      </c>
      <c r="H93" t="s">
        <v>28</v>
      </c>
      <c r="I93" t="s">
        <v>123</v>
      </c>
    </row>
    <row r="94" spans="1:9" x14ac:dyDescent="0.25">
      <c r="A94" t="s">
        <v>194</v>
      </c>
      <c r="B94" s="1" t="s">
        <v>31</v>
      </c>
      <c r="C94" t="s">
        <v>34</v>
      </c>
      <c r="E94">
        <v>80588</v>
      </c>
      <c r="F94">
        <v>42652</v>
      </c>
      <c r="G94">
        <v>5</v>
      </c>
      <c r="H94" t="s">
        <v>28</v>
      </c>
      <c r="I94" t="s">
        <v>104</v>
      </c>
    </row>
    <row r="95" spans="1:9" x14ac:dyDescent="0.25">
      <c r="A95" t="s">
        <v>195</v>
      </c>
      <c r="B95" s="1" t="s">
        <v>22</v>
      </c>
      <c r="D95" t="s">
        <v>27</v>
      </c>
      <c r="E95">
        <v>76238</v>
      </c>
      <c r="F95">
        <v>42659</v>
      </c>
      <c r="G95">
        <v>4</v>
      </c>
      <c r="H95" t="s">
        <v>28</v>
      </c>
      <c r="I95" t="s">
        <v>196</v>
      </c>
    </row>
    <row r="96" spans="1:9" x14ac:dyDescent="0.25">
      <c r="A96" t="s">
        <v>197</v>
      </c>
      <c r="B96" s="1" t="s">
        <v>54</v>
      </c>
      <c r="C96" t="s">
        <v>34</v>
      </c>
      <c r="D96" t="s">
        <v>35</v>
      </c>
      <c r="E96">
        <v>33264</v>
      </c>
      <c r="F96">
        <v>42666</v>
      </c>
      <c r="H96" t="s">
        <v>36</v>
      </c>
      <c r="I96" t="s">
        <v>198</v>
      </c>
    </row>
    <row r="97" spans="1:9" x14ac:dyDescent="0.25">
      <c r="A97" t="s">
        <v>199</v>
      </c>
      <c r="B97" s="1" t="s">
        <v>22</v>
      </c>
      <c r="C97" t="s">
        <v>10</v>
      </c>
      <c r="D97" t="s">
        <v>64</v>
      </c>
      <c r="E97">
        <v>96101</v>
      </c>
      <c r="F97">
        <v>42673</v>
      </c>
      <c r="H97" t="s">
        <v>19</v>
      </c>
      <c r="I97" t="s">
        <v>200</v>
      </c>
    </row>
    <row r="98" spans="1:9" x14ac:dyDescent="0.25">
      <c r="A98" t="s">
        <v>201</v>
      </c>
      <c r="B98" s="1" t="s">
        <v>31</v>
      </c>
      <c r="C98" t="s">
        <v>10</v>
      </c>
      <c r="D98" t="s">
        <v>27</v>
      </c>
      <c r="E98">
        <v>72939</v>
      </c>
      <c r="F98">
        <v>42680</v>
      </c>
      <c r="G98">
        <v>3</v>
      </c>
      <c r="I98" t="s">
        <v>202</v>
      </c>
    </row>
    <row r="99" spans="1:9" x14ac:dyDescent="0.25">
      <c r="A99" t="s">
        <v>203</v>
      </c>
      <c r="B99" s="1" t="s">
        <v>39</v>
      </c>
      <c r="C99" t="s">
        <v>17</v>
      </c>
      <c r="D99" t="s">
        <v>18</v>
      </c>
      <c r="E99">
        <v>89333</v>
      </c>
      <c r="F99">
        <v>42687</v>
      </c>
      <c r="G99">
        <v>1</v>
      </c>
      <c r="H99" t="s">
        <v>28</v>
      </c>
      <c r="I99" t="s">
        <v>204</v>
      </c>
    </row>
    <row r="100" spans="1:9" x14ac:dyDescent="0.25">
      <c r="A100" t="s">
        <v>205</v>
      </c>
      <c r="B100" s="1" t="s">
        <v>54</v>
      </c>
      <c r="C100" t="s">
        <v>34</v>
      </c>
      <c r="D100" t="s">
        <v>64</v>
      </c>
      <c r="E100">
        <v>70470</v>
      </c>
      <c r="F100">
        <v>42694</v>
      </c>
      <c r="H100" t="s">
        <v>28</v>
      </c>
      <c r="I100" t="s">
        <v>206</v>
      </c>
    </row>
    <row r="101" spans="1:9" x14ac:dyDescent="0.25">
      <c r="A101" t="s">
        <v>207</v>
      </c>
      <c r="B101" s="1" t="s">
        <v>16</v>
      </c>
      <c r="C101" t="s">
        <v>42</v>
      </c>
      <c r="D101" t="s">
        <v>27</v>
      </c>
      <c r="E101">
        <v>70096</v>
      </c>
      <c r="F101">
        <v>42701</v>
      </c>
      <c r="G101">
        <v>4</v>
      </c>
      <c r="H101" t="s">
        <v>28</v>
      </c>
      <c r="I101" t="s">
        <v>208</v>
      </c>
    </row>
    <row r="102" spans="1:9" x14ac:dyDescent="0.25">
      <c r="A102" t="s">
        <v>209</v>
      </c>
      <c r="B102" s="1" t="s">
        <v>54</v>
      </c>
      <c r="C102" t="s">
        <v>42</v>
      </c>
      <c r="D102" t="s">
        <v>11</v>
      </c>
      <c r="E102" t="s">
        <v>12</v>
      </c>
      <c r="F102">
        <v>42708</v>
      </c>
      <c r="G102">
        <v>2</v>
      </c>
      <c r="H102" t="s">
        <v>19</v>
      </c>
      <c r="I102" t="s">
        <v>210</v>
      </c>
    </row>
    <row r="103" spans="1:9" x14ac:dyDescent="0.25">
      <c r="A103" t="s">
        <v>211</v>
      </c>
      <c r="B103" s="1" t="s">
        <v>54</v>
      </c>
      <c r="C103" t="s">
        <v>34</v>
      </c>
      <c r="D103" t="s">
        <v>18</v>
      </c>
      <c r="E103">
        <v>66503</v>
      </c>
      <c r="F103">
        <v>42715</v>
      </c>
      <c r="H103" t="s">
        <v>28</v>
      </c>
      <c r="I103" t="s">
        <v>71</v>
      </c>
    </row>
    <row r="104" spans="1:9" x14ac:dyDescent="0.25">
      <c r="A104" t="s">
        <v>212</v>
      </c>
      <c r="B104" s="1" t="s">
        <v>22</v>
      </c>
      <c r="C104" t="s">
        <v>17</v>
      </c>
      <c r="D104" t="s">
        <v>18</v>
      </c>
      <c r="E104">
        <v>42096</v>
      </c>
      <c r="F104">
        <v>42722</v>
      </c>
      <c r="H104" t="s">
        <v>36</v>
      </c>
      <c r="I104" t="s">
        <v>213</v>
      </c>
    </row>
    <row r="105" spans="1:9" x14ac:dyDescent="0.25">
      <c r="A105" t="s">
        <v>214</v>
      </c>
      <c r="B105" s="1" t="s">
        <v>22</v>
      </c>
      <c r="C105" t="s">
        <v>42</v>
      </c>
      <c r="E105">
        <v>79145</v>
      </c>
      <c r="F105">
        <v>42729</v>
      </c>
      <c r="G105">
        <v>5</v>
      </c>
      <c r="H105" t="s">
        <v>19</v>
      </c>
      <c r="I105" t="s">
        <v>118</v>
      </c>
    </row>
    <row r="106" spans="1:9" x14ac:dyDescent="0.25">
      <c r="A106" t="s">
        <v>215</v>
      </c>
      <c r="B106" s="1" t="s">
        <v>31</v>
      </c>
      <c r="D106" t="s">
        <v>64</v>
      </c>
      <c r="E106">
        <v>61556</v>
      </c>
      <c r="F106">
        <v>42736</v>
      </c>
      <c r="G106">
        <v>1</v>
      </c>
      <c r="I106" t="s">
        <v>210</v>
      </c>
    </row>
    <row r="107" spans="1:9" x14ac:dyDescent="0.25">
      <c r="A107" t="s">
        <v>216</v>
      </c>
      <c r="C107" t="s">
        <v>17</v>
      </c>
      <c r="D107" t="s">
        <v>47</v>
      </c>
      <c r="E107">
        <v>87963</v>
      </c>
      <c r="F107">
        <v>42743</v>
      </c>
      <c r="G107">
        <v>3</v>
      </c>
      <c r="H107" t="s">
        <v>19</v>
      </c>
      <c r="I107" t="s">
        <v>14</v>
      </c>
    </row>
    <row r="108" spans="1:9" x14ac:dyDescent="0.25">
      <c r="A108" t="s">
        <v>217</v>
      </c>
      <c r="B108" s="1" t="s">
        <v>16</v>
      </c>
      <c r="C108" t="s">
        <v>34</v>
      </c>
      <c r="E108">
        <v>48325</v>
      </c>
      <c r="F108">
        <v>42750</v>
      </c>
      <c r="H108" t="s">
        <v>28</v>
      </c>
      <c r="I108" t="s">
        <v>218</v>
      </c>
    </row>
    <row r="109" spans="1:9" x14ac:dyDescent="0.25">
      <c r="A109" t="s">
        <v>219</v>
      </c>
      <c r="B109" s="1" t="s">
        <v>39</v>
      </c>
      <c r="C109" t="s">
        <v>42</v>
      </c>
      <c r="D109" t="s">
        <v>64</v>
      </c>
      <c r="E109">
        <v>86412</v>
      </c>
      <c r="F109">
        <v>42757</v>
      </c>
      <c r="G109">
        <v>2</v>
      </c>
      <c r="H109" t="s">
        <v>36</v>
      </c>
      <c r="I109" t="s">
        <v>75</v>
      </c>
    </row>
    <row r="110" spans="1:9" x14ac:dyDescent="0.25">
      <c r="A110" t="s">
        <v>220</v>
      </c>
      <c r="B110" s="1" t="s">
        <v>39</v>
      </c>
      <c r="C110" t="s">
        <v>17</v>
      </c>
      <c r="E110">
        <v>66761</v>
      </c>
      <c r="F110">
        <v>42764</v>
      </c>
      <c r="G110">
        <v>1</v>
      </c>
      <c r="I110" t="s">
        <v>221</v>
      </c>
    </row>
    <row r="111" spans="1:9" x14ac:dyDescent="0.25">
      <c r="A111" t="s">
        <v>222</v>
      </c>
      <c r="B111" s="1" t="s">
        <v>31</v>
      </c>
      <c r="D111" t="s">
        <v>35</v>
      </c>
      <c r="E111">
        <v>88850</v>
      </c>
      <c r="F111">
        <v>42771</v>
      </c>
      <c r="G111">
        <v>1</v>
      </c>
      <c r="H111" t="s">
        <v>36</v>
      </c>
      <c r="I111" t="s">
        <v>223</v>
      </c>
    </row>
    <row r="112" spans="1:9" x14ac:dyDescent="0.25">
      <c r="A112" t="s">
        <v>224</v>
      </c>
      <c r="B112" s="1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25">
      <c r="A113" t="s">
        <v>226</v>
      </c>
      <c r="B113" s="1" t="s">
        <v>41</v>
      </c>
      <c r="C113" t="s">
        <v>34</v>
      </c>
      <c r="D113" t="s">
        <v>27</v>
      </c>
      <c r="E113">
        <v>34306</v>
      </c>
      <c r="F113">
        <v>42785</v>
      </c>
      <c r="G113">
        <v>5</v>
      </c>
      <c r="H113" t="s">
        <v>36</v>
      </c>
      <c r="I113" t="s">
        <v>157</v>
      </c>
    </row>
    <row r="114" spans="1:9" x14ac:dyDescent="0.25">
      <c r="A114" t="s">
        <v>227</v>
      </c>
      <c r="B114" s="1" t="s">
        <v>16</v>
      </c>
      <c r="C114" t="s">
        <v>10</v>
      </c>
      <c r="D114" t="s">
        <v>35</v>
      </c>
      <c r="E114">
        <v>78330</v>
      </c>
      <c r="F114">
        <v>42792</v>
      </c>
      <c r="H114" t="s">
        <v>19</v>
      </c>
      <c r="I114" t="s">
        <v>208</v>
      </c>
    </row>
    <row r="115" spans="1:9" x14ac:dyDescent="0.25">
      <c r="A115" t="s">
        <v>228</v>
      </c>
      <c r="B115" s="1" t="s">
        <v>22</v>
      </c>
      <c r="C115" t="s">
        <v>34</v>
      </c>
      <c r="D115" t="s">
        <v>27</v>
      </c>
      <c r="E115">
        <v>47653</v>
      </c>
      <c r="F115">
        <v>42799</v>
      </c>
      <c r="G115">
        <v>1</v>
      </c>
      <c r="H115" t="s">
        <v>28</v>
      </c>
      <c r="I115" t="s">
        <v>229</v>
      </c>
    </row>
    <row r="116" spans="1:9" x14ac:dyDescent="0.25">
      <c r="A116" t="s">
        <v>230</v>
      </c>
      <c r="B116" s="1" t="s">
        <v>16</v>
      </c>
      <c r="C116" t="s">
        <v>42</v>
      </c>
      <c r="D116" t="s">
        <v>47</v>
      </c>
      <c r="E116">
        <v>44627</v>
      </c>
      <c r="F116">
        <v>42806</v>
      </c>
      <c r="G116">
        <v>4</v>
      </c>
      <c r="I116" t="s">
        <v>149</v>
      </c>
    </row>
    <row r="117" spans="1:9" x14ac:dyDescent="0.25">
      <c r="A117" t="s">
        <v>231</v>
      </c>
      <c r="B117" s="1" t="s">
        <v>54</v>
      </c>
      <c r="C117" t="s">
        <v>17</v>
      </c>
      <c r="D117" t="s">
        <v>18</v>
      </c>
      <c r="E117">
        <v>92343</v>
      </c>
      <c r="F117">
        <v>42813</v>
      </c>
      <c r="G117">
        <v>4</v>
      </c>
      <c r="H117" t="s">
        <v>36</v>
      </c>
      <c r="I117" t="s">
        <v>77</v>
      </c>
    </row>
    <row r="118" spans="1:9" x14ac:dyDescent="0.25">
      <c r="A118" t="s">
        <v>232</v>
      </c>
      <c r="B118" s="1" t="s">
        <v>54</v>
      </c>
      <c r="C118" t="s">
        <v>42</v>
      </c>
      <c r="D118" t="s">
        <v>64</v>
      </c>
      <c r="E118">
        <v>38837</v>
      </c>
      <c r="F118">
        <v>42820</v>
      </c>
      <c r="G118">
        <v>5</v>
      </c>
      <c r="H118" t="s">
        <v>36</v>
      </c>
      <c r="I118" t="s">
        <v>157</v>
      </c>
    </row>
    <row r="119" spans="1:9" x14ac:dyDescent="0.25">
      <c r="A119" t="s">
        <v>233</v>
      </c>
      <c r="B119" s="1" t="s">
        <v>54</v>
      </c>
      <c r="C119" t="s">
        <v>42</v>
      </c>
      <c r="E119">
        <v>73483</v>
      </c>
      <c r="F119">
        <v>42827</v>
      </c>
      <c r="G119">
        <v>1</v>
      </c>
      <c r="I119" t="s">
        <v>234</v>
      </c>
    </row>
    <row r="120" spans="1:9" x14ac:dyDescent="0.25">
      <c r="A120" t="s">
        <v>235</v>
      </c>
      <c r="B120" s="1" t="s">
        <v>41</v>
      </c>
      <c r="C120" t="s">
        <v>26</v>
      </c>
      <c r="D120" t="s">
        <v>35</v>
      </c>
      <c r="E120">
        <v>95032</v>
      </c>
      <c r="F120">
        <v>42834</v>
      </c>
      <c r="G120">
        <v>3</v>
      </c>
      <c r="I120" t="s">
        <v>236</v>
      </c>
    </row>
    <row r="121" spans="1:9" x14ac:dyDescent="0.25">
      <c r="A121" t="s">
        <v>237</v>
      </c>
      <c r="B121" s="1" t="s">
        <v>16</v>
      </c>
      <c r="C121" t="s">
        <v>26</v>
      </c>
      <c r="D121" t="s">
        <v>64</v>
      </c>
      <c r="E121">
        <v>44358</v>
      </c>
      <c r="F121">
        <v>42841</v>
      </c>
      <c r="H121" t="s">
        <v>36</v>
      </c>
      <c r="I121" t="s">
        <v>71</v>
      </c>
    </row>
    <row r="122" spans="1:9" x14ac:dyDescent="0.2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25">
      <c r="A123" t="s">
        <v>240</v>
      </c>
      <c r="B123" s="1" t="s">
        <v>41</v>
      </c>
      <c r="C123" t="s">
        <v>26</v>
      </c>
      <c r="D123" t="s">
        <v>27</v>
      </c>
      <c r="E123">
        <v>45676</v>
      </c>
      <c r="F123">
        <v>42855</v>
      </c>
      <c r="G123">
        <v>2</v>
      </c>
      <c r="I123" t="s">
        <v>241</v>
      </c>
    </row>
    <row r="124" spans="1:9" x14ac:dyDescent="0.25">
      <c r="A124" t="s">
        <v>242</v>
      </c>
      <c r="B124" s="1" t="s">
        <v>54</v>
      </c>
      <c r="C124" t="s">
        <v>26</v>
      </c>
      <c r="D124" t="s">
        <v>18</v>
      </c>
      <c r="E124">
        <v>52036</v>
      </c>
      <c r="F124">
        <v>42862</v>
      </c>
      <c r="G124">
        <v>3</v>
      </c>
      <c r="H124" t="s">
        <v>28</v>
      </c>
      <c r="I124" t="s">
        <v>243</v>
      </c>
    </row>
    <row r="125" spans="1:9" x14ac:dyDescent="0.25">
      <c r="A125" t="s">
        <v>244</v>
      </c>
      <c r="B125" s="1" t="s">
        <v>31</v>
      </c>
      <c r="D125" t="s">
        <v>18</v>
      </c>
      <c r="E125">
        <v>30357</v>
      </c>
      <c r="F125">
        <v>42869</v>
      </c>
      <c r="G125">
        <v>5</v>
      </c>
      <c r="H125" t="s">
        <v>28</v>
      </c>
      <c r="I125" t="s">
        <v>182</v>
      </c>
    </row>
    <row r="126" spans="1:9" x14ac:dyDescent="0.25">
      <c r="A126" t="s">
        <v>245</v>
      </c>
      <c r="B126" s="1" t="s">
        <v>25</v>
      </c>
      <c r="C126" t="s">
        <v>34</v>
      </c>
      <c r="E126">
        <v>60034</v>
      </c>
      <c r="F126">
        <v>42876</v>
      </c>
      <c r="G126">
        <v>1</v>
      </c>
      <c r="H126" t="s">
        <v>36</v>
      </c>
      <c r="I126" t="s">
        <v>246</v>
      </c>
    </row>
    <row r="127" spans="1:9" x14ac:dyDescent="0.25">
      <c r="A127" t="s">
        <v>247</v>
      </c>
      <c r="B127" s="1" t="s">
        <v>25</v>
      </c>
      <c r="C127" t="s">
        <v>10</v>
      </c>
      <c r="D127" t="s">
        <v>11</v>
      </c>
      <c r="E127">
        <v>90019</v>
      </c>
      <c r="F127">
        <v>42883</v>
      </c>
      <c r="G127">
        <v>5</v>
      </c>
      <c r="I127" t="s">
        <v>248</v>
      </c>
    </row>
    <row r="128" spans="1:9" x14ac:dyDescent="0.25">
      <c r="A128" t="s">
        <v>249</v>
      </c>
      <c r="B128" s="1" t="s">
        <v>54</v>
      </c>
      <c r="D128" t="s">
        <v>18</v>
      </c>
      <c r="E128">
        <v>71494</v>
      </c>
      <c r="F128">
        <v>42890</v>
      </c>
      <c r="G128">
        <v>3</v>
      </c>
      <c r="H128" t="s">
        <v>28</v>
      </c>
      <c r="I128" t="s">
        <v>250</v>
      </c>
    </row>
    <row r="129" spans="1:9" x14ac:dyDescent="0.25">
      <c r="A129" t="s">
        <v>251</v>
      </c>
      <c r="B129" s="1" t="s">
        <v>25</v>
      </c>
      <c r="C129" t="s">
        <v>10</v>
      </c>
      <c r="D129" t="s">
        <v>27</v>
      </c>
      <c r="E129">
        <v>91953</v>
      </c>
      <c r="F129">
        <v>42897</v>
      </c>
      <c r="G129">
        <v>2</v>
      </c>
      <c r="H129" t="s">
        <v>28</v>
      </c>
      <c r="I129" t="s">
        <v>89</v>
      </c>
    </row>
    <row r="130" spans="1:9" x14ac:dyDescent="0.25">
      <c r="A130" t="s">
        <v>252</v>
      </c>
      <c r="B130" s="1" t="s">
        <v>41</v>
      </c>
      <c r="C130" t="s">
        <v>26</v>
      </c>
      <c r="D130" t="s">
        <v>27</v>
      </c>
      <c r="E130">
        <v>30402</v>
      </c>
      <c r="F130">
        <v>42904</v>
      </c>
      <c r="G130">
        <v>1</v>
      </c>
      <c r="I130" t="s">
        <v>253</v>
      </c>
    </row>
    <row r="131" spans="1:9" x14ac:dyDescent="0.25">
      <c r="A131" t="s">
        <v>254</v>
      </c>
      <c r="B131" s="1" t="s">
        <v>54</v>
      </c>
      <c r="D131" t="s">
        <v>47</v>
      </c>
      <c r="E131">
        <v>62994</v>
      </c>
      <c r="F131">
        <v>42911</v>
      </c>
      <c r="I131" t="s">
        <v>114</v>
      </c>
    </row>
    <row r="132" spans="1:9" x14ac:dyDescent="0.25">
      <c r="A132" t="s">
        <v>255</v>
      </c>
      <c r="B132" s="1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25">
      <c r="A133" t="s">
        <v>256</v>
      </c>
      <c r="B133" s="1" t="s">
        <v>39</v>
      </c>
      <c r="C133" t="s">
        <v>42</v>
      </c>
      <c r="D133" t="s">
        <v>18</v>
      </c>
      <c r="E133">
        <v>34402</v>
      </c>
      <c r="F133">
        <v>42925</v>
      </c>
      <c r="G133">
        <v>3</v>
      </c>
      <c r="H133" t="s">
        <v>19</v>
      </c>
      <c r="I133" t="s">
        <v>108</v>
      </c>
    </row>
    <row r="134" spans="1:9" x14ac:dyDescent="0.25">
      <c r="A134" t="s">
        <v>257</v>
      </c>
      <c r="B134" s="1" t="s">
        <v>16</v>
      </c>
      <c r="C134" t="s">
        <v>17</v>
      </c>
      <c r="D134" t="s">
        <v>27</v>
      </c>
      <c r="E134">
        <v>38678</v>
      </c>
      <c r="F134">
        <v>42932</v>
      </c>
      <c r="G134">
        <v>3</v>
      </c>
      <c r="H134" t="s">
        <v>19</v>
      </c>
      <c r="I134" t="s">
        <v>258</v>
      </c>
    </row>
    <row r="135" spans="1:9" x14ac:dyDescent="0.25">
      <c r="A135" t="s">
        <v>259</v>
      </c>
      <c r="B135" s="1" t="s">
        <v>41</v>
      </c>
      <c r="C135" t="s">
        <v>17</v>
      </c>
      <c r="D135" t="s">
        <v>18</v>
      </c>
      <c r="E135">
        <v>45758</v>
      </c>
      <c r="F135">
        <v>42939</v>
      </c>
      <c r="G135">
        <v>3</v>
      </c>
      <c r="I135" t="s">
        <v>225</v>
      </c>
    </row>
    <row r="136" spans="1:9" x14ac:dyDescent="0.25">
      <c r="A136" t="s">
        <v>260</v>
      </c>
      <c r="B136" s="1" t="s">
        <v>16</v>
      </c>
      <c r="C136" t="s">
        <v>42</v>
      </c>
      <c r="D136" t="s">
        <v>35</v>
      </c>
      <c r="E136">
        <v>62476</v>
      </c>
      <c r="F136">
        <v>42946</v>
      </c>
      <c r="G136">
        <v>1</v>
      </c>
      <c r="H136" t="s">
        <v>19</v>
      </c>
      <c r="I136" t="s">
        <v>138</v>
      </c>
    </row>
    <row r="137" spans="1:9" x14ac:dyDescent="0.25">
      <c r="A137" t="s">
        <v>261</v>
      </c>
      <c r="C137" t="s">
        <v>34</v>
      </c>
      <c r="D137" t="s">
        <v>47</v>
      </c>
      <c r="E137">
        <v>39280</v>
      </c>
      <c r="F137">
        <v>42953</v>
      </c>
      <c r="G137">
        <v>3</v>
      </c>
      <c r="H137" t="s">
        <v>36</v>
      </c>
      <c r="I137" t="s">
        <v>99</v>
      </c>
    </row>
    <row r="138" spans="1:9" x14ac:dyDescent="0.25">
      <c r="A138" t="s">
        <v>262</v>
      </c>
      <c r="B138" s="1" t="s">
        <v>31</v>
      </c>
      <c r="C138" t="s">
        <v>10</v>
      </c>
      <c r="D138" t="s">
        <v>35</v>
      </c>
      <c r="E138">
        <v>60335</v>
      </c>
      <c r="F138">
        <v>42960</v>
      </c>
      <c r="G138">
        <v>4</v>
      </c>
      <c r="H138" t="s">
        <v>19</v>
      </c>
      <c r="I138" t="s">
        <v>129</v>
      </c>
    </row>
    <row r="139" spans="1:9" x14ac:dyDescent="0.25">
      <c r="A139" t="s">
        <v>263</v>
      </c>
      <c r="B139" s="1" t="s">
        <v>41</v>
      </c>
      <c r="C139" t="s">
        <v>17</v>
      </c>
      <c r="D139" t="s">
        <v>18</v>
      </c>
      <c r="E139">
        <v>84968</v>
      </c>
      <c r="F139">
        <v>42967</v>
      </c>
      <c r="I139" t="s">
        <v>264</v>
      </c>
    </row>
    <row r="140" spans="1:9" x14ac:dyDescent="0.25">
      <c r="A140" t="s">
        <v>265</v>
      </c>
      <c r="B140" s="1" t="s">
        <v>41</v>
      </c>
      <c r="C140" t="s">
        <v>42</v>
      </c>
      <c r="D140" t="s">
        <v>64</v>
      </c>
      <c r="E140">
        <v>84750</v>
      </c>
      <c r="F140">
        <v>42974</v>
      </c>
      <c r="G140">
        <v>4</v>
      </c>
      <c r="H140" t="s">
        <v>36</v>
      </c>
      <c r="I140" t="s">
        <v>60</v>
      </c>
    </row>
    <row r="141" spans="1:9" x14ac:dyDescent="0.25">
      <c r="A141" t="s">
        <v>266</v>
      </c>
      <c r="B141" s="1" t="s">
        <v>54</v>
      </c>
      <c r="C141" t="s">
        <v>34</v>
      </c>
      <c r="E141">
        <v>73348</v>
      </c>
      <c r="F141">
        <v>42981</v>
      </c>
      <c r="G141">
        <v>2</v>
      </c>
      <c r="I141" t="s">
        <v>171</v>
      </c>
    </row>
    <row r="142" spans="1:9" x14ac:dyDescent="0.25">
      <c r="A142" t="s">
        <v>267</v>
      </c>
      <c r="B142" s="1" t="s">
        <v>41</v>
      </c>
      <c r="C142" t="s">
        <v>26</v>
      </c>
      <c r="D142" t="s">
        <v>27</v>
      </c>
      <c r="E142" t="s">
        <v>12</v>
      </c>
      <c r="F142">
        <v>42988</v>
      </c>
      <c r="G142">
        <v>4</v>
      </c>
      <c r="H142" t="s">
        <v>19</v>
      </c>
      <c r="I142" t="s">
        <v>14</v>
      </c>
    </row>
    <row r="143" spans="1:9" x14ac:dyDescent="0.25">
      <c r="A143" t="s">
        <v>268</v>
      </c>
      <c r="B143" s="1" t="s">
        <v>31</v>
      </c>
      <c r="C143" t="s">
        <v>42</v>
      </c>
      <c r="D143" t="s">
        <v>27</v>
      </c>
      <c r="E143">
        <v>66882</v>
      </c>
      <c r="F143">
        <v>42995</v>
      </c>
      <c r="G143">
        <v>5</v>
      </c>
      <c r="H143" t="s">
        <v>19</v>
      </c>
      <c r="I143" t="s">
        <v>85</v>
      </c>
    </row>
    <row r="144" spans="1:9" x14ac:dyDescent="0.25">
      <c r="A144" t="s">
        <v>269</v>
      </c>
      <c r="B144" s="1" t="s">
        <v>22</v>
      </c>
      <c r="C144" t="s">
        <v>42</v>
      </c>
      <c r="E144">
        <v>86775</v>
      </c>
      <c r="F144">
        <v>43002</v>
      </c>
      <c r="G144">
        <v>3</v>
      </c>
      <c r="H144" t="s">
        <v>19</v>
      </c>
      <c r="I144" t="s">
        <v>95</v>
      </c>
    </row>
    <row r="145" spans="1:9" x14ac:dyDescent="0.25">
      <c r="A145" t="s">
        <v>270</v>
      </c>
      <c r="B145" s="1" t="s">
        <v>41</v>
      </c>
      <c r="C145" t="s">
        <v>26</v>
      </c>
      <c r="D145" t="s">
        <v>47</v>
      </c>
      <c r="E145">
        <v>91620</v>
      </c>
      <c r="F145">
        <v>43009</v>
      </c>
      <c r="I145" t="s">
        <v>271</v>
      </c>
    </row>
    <row r="146" spans="1:9" x14ac:dyDescent="0.25">
      <c r="A146" t="s">
        <v>272</v>
      </c>
      <c r="B146" s="1" t="s">
        <v>16</v>
      </c>
      <c r="E146">
        <v>94148</v>
      </c>
      <c r="F146">
        <v>43016</v>
      </c>
      <c r="G146">
        <v>2</v>
      </c>
      <c r="I146" t="s">
        <v>273</v>
      </c>
    </row>
    <row r="147" spans="1:9" x14ac:dyDescent="0.25">
      <c r="A147" t="s">
        <v>274</v>
      </c>
      <c r="B147" s="1" t="s">
        <v>39</v>
      </c>
      <c r="C147" t="s">
        <v>26</v>
      </c>
      <c r="D147" t="s">
        <v>64</v>
      </c>
      <c r="E147">
        <v>35627</v>
      </c>
      <c r="F147">
        <v>43023</v>
      </c>
      <c r="G147">
        <v>5</v>
      </c>
      <c r="H147" t="s">
        <v>36</v>
      </c>
      <c r="I147" t="s">
        <v>258</v>
      </c>
    </row>
    <row r="148" spans="1:9" x14ac:dyDescent="0.25">
      <c r="A148" t="s">
        <v>275</v>
      </c>
      <c r="B148" s="1" t="s">
        <v>25</v>
      </c>
      <c r="C148" t="s">
        <v>42</v>
      </c>
      <c r="D148" t="s">
        <v>27</v>
      </c>
      <c r="E148">
        <v>57141</v>
      </c>
      <c r="F148">
        <v>43030</v>
      </c>
      <c r="G148">
        <v>2</v>
      </c>
      <c r="I148" t="s">
        <v>264</v>
      </c>
    </row>
    <row r="149" spans="1:9" x14ac:dyDescent="0.25">
      <c r="A149" t="s">
        <v>276</v>
      </c>
      <c r="B149" s="1" t="s">
        <v>54</v>
      </c>
      <c r="C149" t="s">
        <v>26</v>
      </c>
      <c r="D149" t="s">
        <v>64</v>
      </c>
      <c r="E149">
        <v>65270</v>
      </c>
      <c r="F149">
        <v>43037</v>
      </c>
      <c r="G149">
        <v>1</v>
      </c>
      <c r="I149" t="s">
        <v>277</v>
      </c>
    </row>
    <row r="150" spans="1:9" x14ac:dyDescent="0.25">
      <c r="A150" t="s">
        <v>278</v>
      </c>
      <c r="B150" s="1" t="s">
        <v>54</v>
      </c>
      <c r="D150" t="s">
        <v>47</v>
      </c>
      <c r="E150">
        <v>67335</v>
      </c>
      <c r="F150">
        <v>43044</v>
      </c>
      <c r="G150">
        <v>1</v>
      </c>
      <c r="H150" t="s">
        <v>19</v>
      </c>
      <c r="I150" t="s">
        <v>144</v>
      </c>
    </row>
    <row r="151" spans="1:9" x14ac:dyDescent="0.25">
      <c r="A151" t="s">
        <v>279</v>
      </c>
      <c r="B151" s="1" t="s">
        <v>39</v>
      </c>
      <c r="C151" t="s">
        <v>42</v>
      </c>
      <c r="D151" t="s">
        <v>35</v>
      </c>
      <c r="E151">
        <v>98475</v>
      </c>
      <c r="F151">
        <v>43051</v>
      </c>
      <c r="G151">
        <v>5</v>
      </c>
      <c r="H151" t="s">
        <v>19</v>
      </c>
      <c r="I151" t="s">
        <v>280</v>
      </c>
    </row>
  </sheetData>
  <conditionalFormatting sqref="A2:I15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29BF9-7330-4D6C-A7F3-7AC8BA7A10E3}">
  <dimension ref="A2:P148"/>
  <sheetViews>
    <sheetView tabSelected="1" topLeftCell="C80" workbookViewId="0">
      <selection activeCell="K2" sqref="K2"/>
    </sheetView>
  </sheetViews>
  <sheetFormatPr defaultRowHeight="15" x14ac:dyDescent="0.25"/>
  <cols>
    <col min="1" max="1" width="13.7109375" bestFit="1" customWidth="1"/>
    <col min="2" max="2" width="11.7109375" bestFit="1" customWidth="1"/>
    <col min="3" max="3" width="12.42578125" bestFit="1" customWidth="1"/>
    <col min="4" max="4" width="8.7109375" bestFit="1" customWidth="1"/>
    <col min="5" max="5" width="7.140625" bestFit="1" customWidth="1"/>
    <col min="6" max="6" width="15.7109375" bestFit="1" customWidth="1"/>
    <col min="7" max="7" width="20.42578125" bestFit="1" customWidth="1"/>
    <col min="9" max="9" width="21" bestFit="1" customWidth="1"/>
    <col min="10" max="10" width="10.28515625" customWidth="1"/>
    <col min="11" max="11" width="12.7109375" customWidth="1"/>
    <col min="12" max="12" width="14.28515625" customWidth="1"/>
    <col min="13" max="13" width="15.85546875" bestFit="1" customWidth="1"/>
    <col min="14" max="14" width="18" customWidth="1"/>
    <col min="15" max="16" width="11" customWidth="1"/>
  </cols>
  <sheetData>
    <row r="2" spans="1:16" ht="18.75" x14ac:dyDescent="0.3">
      <c r="M2" s="29" t="s">
        <v>293</v>
      </c>
      <c r="N2" s="29"/>
      <c r="O2" s="29"/>
    </row>
    <row r="3" spans="1:16" ht="15.75" x14ac:dyDescent="0.25">
      <c r="E3" s="12" t="s">
        <v>281</v>
      </c>
      <c r="F3" s="12"/>
    </row>
    <row r="4" spans="1:16" x14ac:dyDescent="0.25">
      <c r="K4" s="20" t="s">
        <v>289</v>
      </c>
      <c r="L4" s="21" t="s">
        <v>0</v>
      </c>
      <c r="M4" s="21" t="s">
        <v>288</v>
      </c>
      <c r="N4" s="21" t="s">
        <v>290</v>
      </c>
      <c r="O4" s="21" t="s">
        <v>291</v>
      </c>
      <c r="P4" s="22" t="s">
        <v>292</v>
      </c>
    </row>
    <row r="5" spans="1:16" ht="15.75" x14ac:dyDescent="0.25">
      <c r="A5" s="3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15" t="s">
        <v>5</v>
      </c>
      <c r="G5" s="4" t="s">
        <v>6</v>
      </c>
      <c r="H5" s="4" t="s">
        <v>7</v>
      </c>
      <c r="I5" s="5" t="s">
        <v>8</v>
      </c>
      <c r="J5" s="13"/>
      <c r="K5" s="26" t="s">
        <v>282</v>
      </c>
      <c r="L5" s="27" t="s">
        <v>283</v>
      </c>
      <c r="M5" s="27" t="s">
        <v>284</v>
      </c>
      <c r="N5" s="27" t="s">
        <v>285</v>
      </c>
      <c r="O5" s="27" t="s">
        <v>286</v>
      </c>
      <c r="P5" s="28" t="s">
        <v>287</v>
      </c>
    </row>
    <row r="6" spans="1:16" x14ac:dyDescent="0.25">
      <c r="A6" s="6" t="s">
        <v>15</v>
      </c>
      <c r="B6" s="7" t="s">
        <v>16</v>
      </c>
      <c r="C6" s="7" t="s">
        <v>17</v>
      </c>
      <c r="D6" s="7" t="s">
        <v>18</v>
      </c>
      <c r="E6" s="7">
        <v>54255</v>
      </c>
      <c r="F6" s="16">
        <v>42015</v>
      </c>
      <c r="G6" s="7">
        <v>1</v>
      </c>
      <c r="H6" s="7" t="s">
        <v>19</v>
      </c>
      <c r="I6" s="8" t="s">
        <v>20</v>
      </c>
      <c r="J6" s="14"/>
      <c r="K6" s="18" t="str">
        <f>LEFT(Table2[[#This Row],[Name]], FIND(" ",Table2[[#This Row],[Name]],2))</f>
        <v xml:space="preserve">Eve </v>
      </c>
      <c r="L6" s="17" t="str">
        <f>RIGHT(Table2[[#This Row],[Employee ID]],4)</f>
        <v>1001</v>
      </c>
      <c r="M6" s="17" t="str">
        <f>MID(Table2[[#This Row],[Salary]],2,3)</f>
        <v>425</v>
      </c>
      <c r="N6" s="17" t="str">
        <f>UPPER(Table2[[#This Row],[Name]])</f>
        <v>EVE ADAMS</v>
      </c>
      <c r="O6" s="17" t="str">
        <f>LOWER(Table2[[#This Row],[Country]])</f>
        <v>germany</v>
      </c>
      <c r="P6" s="19" t="str">
        <f>PROPER(Table2[[#This Row],[Gender]])</f>
        <v>Other</v>
      </c>
    </row>
    <row r="7" spans="1:16" x14ac:dyDescent="0.25">
      <c r="A7" s="6" t="s">
        <v>24</v>
      </c>
      <c r="B7" s="7" t="s">
        <v>25</v>
      </c>
      <c r="C7" s="7" t="s">
        <v>26</v>
      </c>
      <c r="D7" s="7" t="s">
        <v>27</v>
      </c>
      <c r="E7" s="7">
        <v>94406</v>
      </c>
      <c r="F7" s="16">
        <v>42016</v>
      </c>
      <c r="G7" s="7">
        <v>1</v>
      </c>
      <c r="H7" s="7" t="s">
        <v>28</v>
      </c>
      <c r="I7" s="8" t="s">
        <v>29</v>
      </c>
      <c r="J7" s="14"/>
      <c r="K7" s="18" t="str">
        <f>LEFT(Table2[[#This Row],[Name]], FIND(" ",Table2[[#This Row],[Name]],2))</f>
        <v xml:space="preserve">John </v>
      </c>
      <c r="L7" s="17" t="str">
        <f>RIGHT(Table2[[#This Row],[Employee ID]],4)</f>
        <v>1003</v>
      </c>
      <c r="M7" s="17" t="str">
        <f>MID(Table2[[#This Row],[Salary]],2,3)</f>
        <v>440</v>
      </c>
      <c r="N7" s="17" t="str">
        <f>UPPER(Table2[[#This Row],[Name]])</f>
        <v>JOHN DOE</v>
      </c>
      <c r="O7" s="17" t="str">
        <f>LOWER(Table2[[#This Row],[Country]])</f>
        <v>usa</v>
      </c>
      <c r="P7" s="19" t="str">
        <f>PROPER(Table2[[#This Row],[Gender]])</f>
        <v>Male</v>
      </c>
    </row>
    <row r="8" spans="1:16" x14ac:dyDescent="0.25">
      <c r="A8" s="6" t="s">
        <v>30</v>
      </c>
      <c r="B8" s="7" t="s">
        <v>31</v>
      </c>
      <c r="C8" s="7" t="s">
        <v>26</v>
      </c>
      <c r="D8" s="7" t="s">
        <v>18</v>
      </c>
      <c r="E8" s="7">
        <v>64120</v>
      </c>
      <c r="F8" s="16">
        <v>42017</v>
      </c>
      <c r="G8" s="7">
        <v>1</v>
      </c>
      <c r="H8" s="7" t="s">
        <v>28</v>
      </c>
      <c r="I8" s="8" t="s">
        <v>32</v>
      </c>
      <c r="J8" s="14"/>
      <c r="K8" s="18" t="str">
        <f>LEFT(Table2[[#This Row],[Name]], FIND(" ",Table2[[#This Row],[Name]],2))</f>
        <v xml:space="preserve">Jane </v>
      </c>
      <c r="L8" s="17" t="str">
        <f>RIGHT(Table2[[#This Row],[Employee ID]],4)</f>
        <v>1004</v>
      </c>
      <c r="M8" s="17" t="str">
        <f>MID(Table2[[#This Row],[Salary]],2,3)</f>
        <v>412</v>
      </c>
      <c r="N8" s="17" t="str">
        <f>UPPER(Table2[[#This Row],[Name]])</f>
        <v>JANE SMITH</v>
      </c>
      <c r="O8" s="17" t="str">
        <f>LOWER(Table2[[#This Row],[Country]])</f>
        <v>germany</v>
      </c>
      <c r="P8" s="19" t="str">
        <f>PROPER(Table2[[#This Row],[Gender]])</f>
        <v>Male</v>
      </c>
    </row>
    <row r="9" spans="1:16" x14ac:dyDescent="0.25">
      <c r="A9" s="6" t="s">
        <v>33</v>
      </c>
      <c r="B9" s="7" t="s">
        <v>22</v>
      </c>
      <c r="C9" s="7" t="s">
        <v>34</v>
      </c>
      <c r="D9" s="7" t="s">
        <v>35</v>
      </c>
      <c r="E9" s="7">
        <v>78421</v>
      </c>
      <c r="F9" s="16">
        <v>42018</v>
      </c>
      <c r="G9" s="7">
        <v>2</v>
      </c>
      <c r="H9" s="7" t="s">
        <v>36</v>
      </c>
      <c r="I9" s="8" t="s">
        <v>37</v>
      </c>
      <c r="J9" s="14"/>
      <c r="K9" s="18" t="str">
        <f>LEFT(Table2[[#This Row],[Name]], FIND(" ",Table2[[#This Row],[Name]],2))</f>
        <v xml:space="preserve">Alice </v>
      </c>
      <c r="L9" s="17" t="str">
        <f>RIGHT(Table2[[#This Row],[Employee ID]],4)</f>
        <v>1005</v>
      </c>
      <c r="M9" s="17" t="str">
        <f>MID(Table2[[#This Row],[Salary]],2,3)</f>
        <v>842</v>
      </c>
      <c r="N9" s="17" t="str">
        <f>UPPER(Table2[[#This Row],[Name]])</f>
        <v>ALICE BROWN</v>
      </c>
      <c r="O9" s="17" t="str">
        <f>LOWER(Table2[[#This Row],[Country]])</f>
        <v>india</v>
      </c>
      <c r="P9" s="19" t="str">
        <f>PROPER(Table2[[#This Row],[Gender]])</f>
        <v>Female</v>
      </c>
    </row>
    <row r="10" spans="1:16" x14ac:dyDescent="0.25">
      <c r="A10" s="6" t="s">
        <v>49</v>
      </c>
      <c r="B10" s="7" t="s">
        <v>39</v>
      </c>
      <c r="C10" s="7" t="s">
        <v>10</v>
      </c>
      <c r="D10" s="7" t="s">
        <v>47</v>
      </c>
      <c r="E10" s="7">
        <v>64247</v>
      </c>
      <c r="F10" s="16">
        <v>42019</v>
      </c>
      <c r="G10" s="7">
        <v>1</v>
      </c>
      <c r="H10" s="7" t="s">
        <v>36</v>
      </c>
      <c r="I10" s="8" t="s">
        <v>50</v>
      </c>
      <c r="J10" s="14"/>
      <c r="K10" s="18" t="str">
        <f>LEFT(Table2[[#This Row],[Name]], FIND(" ",Table2[[#This Row],[Name]],2))</f>
        <v xml:space="preserve">Sam </v>
      </c>
      <c r="L10" s="17" t="str">
        <f>RIGHT(Table2[[#This Row],[Employee ID]],4)</f>
        <v>1010</v>
      </c>
      <c r="M10" s="17" t="str">
        <f>MID(Table2[[#This Row],[Salary]],2,3)</f>
        <v>424</v>
      </c>
      <c r="N10" s="17" t="str">
        <f>UPPER(Table2[[#This Row],[Name]])</f>
        <v>SAM WILSON</v>
      </c>
      <c r="O10" s="17" t="str">
        <f>LOWER(Table2[[#This Row],[Country]])</f>
        <v>uk</v>
      </c>
      <c r="P10" s="19" t="str">
        <f>PROPER(Table2[[#This Row],[Gender]])</f>
        <v>Female</v>
      </c>
    </row>
    <row r="11" spans="1:16" x14ac:dyDescent="0.25">
      <c r="A11" s="6" t="s">
        <v>51</v>
      </c>
      <c r="B11" s="7" t="s">
        <v>39</v>
      </c>
      <c r="C11" s="7" t="s">
        <v>34</v>
      </c>
      <c r="D11" s="7" t="s">
        <v>27</v>
      </c>
      <c r="E11" s="7">
        <v>91180</v>
      </c>
      <c r="F11" s="16">
        <v>42020</v>
      </c>
      <c r="G11" s="7">
        <v>5</v>
      </c>
      <c r="H11" s="7" t="s">
        <v>28</v>
      </c>
      <c r="I11" s="8" t="s">
        <v>52</v>
      </c>
      <c r="J11" s="14"/>
      <c r="K11" s="18" t="str">
        <f>LEFT(Table2[[#This Row],[Name]], FIND(" ",Table2[[#This Row],[Name]],2))</f>
        <v xml:space="preserve">Sam </v>
      </c>
      <c r="L11" s="17" t="str">
        <f>RIGHT(Table2[[#This Row],[Employee ID]],4)</f>
        <v>1011</v>
      </c>
      <c r="M11" s="17" t="str">
        <f>MID(Table2[[#This Row],[Salary]],2,3)</f>
        <v>118</v>
      </c>
      <c r="N11" s="17" t="str">
        <f>UPPER(Table2[[#This Row],[Name]])</f>
        <v>SAM WILSON</v>
      </c>
      <c r="O11" s="17" t="str">
        <f>LOWER(Table2[[#This Row],[Country]])</f>
        <v>usa</v>
      </c>
      <c r="P11" s="19" t="str">
        <f>PROPER(Table2[[#This Row],[Gender]])</f>
        <v>Male</v>
      </c>
    </row>
    <row r="12" spans="1:16" x14ac:dyDescent="0.25">
      <c r="A12" s="6" t="s">
        <v>55</v>
      </c>
      <c r="B12" s="7" t="s">
        <v>39</v>
      </c>
      <c r="C12" s="7" t="s">
        <v>26</v>
      </c>
      <c r="D12" s="7" t="s">
        <v>35</v>
      </c>
      <c r="E12" s="7">
        <v>62158</v>
      </c>
      <c r="F12" s="16">
        <v>42021</v>
      </c>
      <c r="G12" s="7">
        <v>4</v>
      </c>
      <c r="H12" s="7" t="s">
        <v>28</v>
      </c>
      <c r="I12" s="8" t="s">
        <v>56</v>
      </c>
      <c r="J12" s="14"/>
      <c r="K12" s="18" t="str">
        <f>LEFT(Table2[[#This Row],[Name]], FIND(" ",Table2[[#This Row],[Name]],2))</f>
        <v xml:space="preserve">Sam </v>
      </c>
      <c r="L12" s="17" t="str">
        <f>RIGHT(Table2[[#This Row],[Employee ID]],4)</f>
        <v>1013</v>
      </c>
      <c r="M12" s="17" t="str">
        <f>MID(Table2[[#This Row],[Salary]],2,3)</f>
        <v>215</v>
      </c>
      <c r="N12" s="17" t="str">
        <f>UPPER(Table2[[#This Row],[Name]])</f>
        <v>SAM WILSON</v>
      </c>
      <c r="O12" s="17" t="str">
        <f>LOWER(Table2[[#This Row],[Country]])</f>
        <v>india</v>
      </c>
      <c r="P12" s="19" t="str">
        <f>PROPER(Table2[[#This Row],[Gender]])</f>
        <v>Male</v>
      </c>
    </row>
    <row r="13" spans="1:16" x14ac:dyDescent="0.25">
      <c r="A13" s="6" t="s">
        <v>57</v>
      </c>
      <c r="B13" s="7" t="s">
        <v>31</v>
      </c>
      <c r="C13" s="7" t="s">
        <v>17</v>
      </c>
      <c r="D13" s="7" t="s">
        <v>35</v>
      </c>
      <c r="E13" s="7">
        <v>59894</v>
      </c>
      <c r="F13" s="16">
        <v>42022</v>
      </c>
      <c r="G13" s="7">
        <v>2</v>
      </c>
      <c r="H13" s="7" t="s">
        <v>28</v>
      </c>
      <c r="I13" s="8" t="s">
        <v>58</v>
      </c>
      <c r="J13" s="14"/>
      <c r="K13" s="18" t="str">
        <f>LEFT(Table2[[#This Row],[Name]], FIND(" ",Table2[[#This Row],[Name]],2))</f>
        <v xml:space="preserve">Jane </v>
      </c>
      <c r="L13" s="17" t="str">
        <f>RIGHT(Table2[[#This Row],[Employee ID]],4)</f>
        <v>1014</v>
      </c>
      <c r="M13" s="17" t="str">
        <f>MID(Table2[[#This Row],[Salary]],2,3)</f>
        <v>989</v>
      </c>
      <c r="N13" s="17" t="str">
        <f>UPPER(Table2[[#This Row],[Name]])</f>
        <v>JANE SMITH</v>
      </c>
      <c r="O13" s="17" t="str">
        <f>LOWER(Table2[[#This Row],[Country]])</f>
        <v>india</v>
      </c>
      <c r="P13" s="19" t="str">
        <f>PROPER(Table2[[#This Row],[Gender]])</f>
        <v>Male</v>
      </c>
    </row>
    <row r="14" spans="1:16" x14ac:dyDescent="0.25">
      <c r="A14" s="6" t="s">
        <v>59</v>
      </c>
      <c r="B14" s="7" t="s">
        <v>39</v>
      </c>
      <c r="C14" s="7" t="s">
        <v>34</v>
      </c>
      <c r="D14" s="7" t="s">
        <v>35</v>
      </c>
      <c r="E14" s="7">
        <v>92443</v>
      </c>
      <c r="F14" s="16">
        <v>42023</v>
      </c>
      <c r="G14" s="7">
        <v>3</v>
      </c>
      <c r="H14" s="7" t="s">
        <v>19</v>
      </c>
      <c r="I14" s="8" t="s">
        <v>60</v>
      </c>
      <c r="J14" s="14"/>
      <c r="K14" s="18" t="str">
        <f>LEFT(Table2[[#This Row],[Name]], FIND(" ",Table2[[#This Row],[Name]],2))</f>
        <v xml:space="preserve">Sam </v>
      </c>
      <c r="L14" s="17" t="str">
        <f>RIGHT(Table2[[#This Row],[Employee ID]],4)</f>
        <v>1015</v>
      </c>
      <c r="M14" s="17" t="str">
        <f>MID(Table2[[#This Row],[Salary]],2,3)</f>
        <v>244</v>
      </c>
      <c r="N14" s="17" t="str">
        <f>UPPER(Table2[[#This Row],[Name]])</f>
        <v>SAM WILSON</v>
      </c>
      <c r="O14" s="17" t="str">
        <f>LOWER(Table2[[#This Row],[Country]])</f>
        <v>india</v>
      </c>
      <c r="P14" s="19" t="str">
        <f>PROPER(Table2[[#This Row],[Gender]])</f>
        <v>Other</v>
      </c>
    </row>
    <row r="15" spans="1:16" x14ac:dyDescent="0.25">
      <c r="A15" s="6" t="s">
        <v>61</v>
      </c>
      <c r="B15" s="7" t="s">
        <v>54</v>
      </c>
      <c r="C15" s="7" t="s">
        <v>34</v>
      </c>
      <c r="D15" s="7" t="s">
        <v>18</v>
      </c>
      <c r="E15" s="7">
        <v>90271</v>
      </c>
      <c r="F15" s="16">
        <v>42024</v>
      </c>
      <c r="G15" s="7">
        <v>2</v>
      </c>
      <c r="H15" s="7" t="s">
        <v>36</v>
      </c>
      <c r="I15" s="8" t="s">
        <v>62</v>
      </c>
      <c r="J15" s="14"/>
      <c r="K15" s="18" t="str">
        <f>LEFT(Table2[[#This Row],[Name]], FIND(" ",Table2[[#This Row],[Name]],2))</f>
        <v xml:space="preserve">Bob </v>
      </c>
      <c r="L15" s="17" t="str">
        <f>RIGHT(Table2[[#This Row],[Employee ID]],4)</f>
        <v>1016</v>
      </c>
      <c r="M15" s="17" t="str">
        <f>MID(Table2[[#This Row],[Salary]],2,3)</f>
        <v>027</v>
      </c>
      <c r="N15" s="17" t="str">
        <f>UPPER(Table2[[#This Row],[Name]])</f>
        <v>BOB JOHNSON</v>
      </c>
      <c r="O15" s="17" t="str">
        <f>LOWER(Table2[[#This Row],[Country]])</f>
        <v>germany</v>
      </c>
      <c r="P15" s="19" t="str">
        <f>PROPER(Table2[[#This Row],[Gender]])</f>
        <v>Female</v>
      </c>
    </row>
    <row r="16" spans="1:16" x14ac:dyDescent="0.25">
      <c r="A16" s="6" t="s">
        <v>63</v>
      </c>
      <c r="B16" s="7" t="s">
        <v>31</v>
      </c>
      <c r="C16" s="7" t="s">
        <v>10</v>
      </c>
      <c r="D16" s="7" t="s">
        <v>64</v>
      </c>
      <c r="E16" s="7">
        <v>41341</v>
      </c>
      <c r="F16" s="16">
        <v>42025</v>
      </c>
      <c r="G16" s="7">
        <v>1</v>
      </c>
      <c r="H16" s="7" t="s">
        <v>19</v>
      </c>
      <c r="I16" s="8" t="s">
        <v>65</v>
      </c>
      <c r="J16" s="14"/>
      <c r="K16" s="18" t="str">
        <f>LEFT(Table2[[#This Row],[Name]], FIND(" ",Table2[[#This Row],[Name]],2))</f>
        <v xml:space="preserve">Jane </v>
      </c>
      <c r="L16" s="17" t="str">
        <f>RIGHT(Table2[[#This Row],[Employee ID]],4)</f>
        <v>1017</v>
      </c>
      <c r="M16" s="17" t="str">
        <f>MID(Table2[[#This Row],[Salary]],2,3)</f>
        <v>134</v>
      </c>
      <c r="N16" s="17" t="str">
        <f>UPPER(Table2[[#This Row],[Name]])</f>
        <v>JANE SMITH</v>
      </c>
      <c r="O16" s="17" t="str">
        <f>LOWER(Table2[[#This Row],[Country]])</f>
        <v>australia</v>
      </c>
      <c r="P16" s="19" t="str">
        <f>PROPER(Table2[[#This Row],[Gender]])</f>
        <v>Other</v>
      </c>
    </row>
    <row r="17" spans="1:16" x14ac:dyDescent="0.25">
      <c r="A17" s="6" t="s">
        <v>66</v>
      </c>
      <c r="B17" s="7" t="s">
        <v>22</v>
      </c>
      <c r="C17" s="7" t="s">
        <v>10</v>
      </c>
      <c r="D17" s="7" t="s">
        <v>47</v>
      </c>
      <c r="E17" s="7">
        <v>73602</v>
      </c>
      <c r="F17" s="16">
        <v>42026</v>
      </c>
      <c r="G17" s="7">
        <v>3</v>
      </c>
      <c r="H17" s="7" t="s">
        <v>19</v>
      </c>
      <c r="I17" s="8" t="s">
        <v>67</v>
      </c>
      <c r="J17" s="14"/>
      <c r="K17" s="18" t="str">
        <f>LEFT(Table2[[#This Row],[Name]], FIND(" ",Table2[[#This Row],[Name]],2))</f>
        <v xml:space="preserve">Alice </v>
      </c>
      <c r="L17" s="17" t="str">
        <f>RIGHT(Table2[[#This Row],[Employee ID]],4)</f>
        <v>1018</v>
      </c>
      <c r="M17" s="17" t="str">
        <f>MID(Table2[[#This Row],[Salary]],2,3)</f>
        <v>360</v>
      </c>
      <c r="N17" s="17" t="str">
        <f>UPPER(Table2[[#This Row],[Name]])</f>
        <v>ALICE BROWN</v>
      </c>
      <c r="O17" s="17" t="str">
        <f>LOWER(Table2[[#This Row],[Country]])</f>
        <v>uk</v>
      </c>
      <c r="P17" s="19" t="str">
        <f>PROPER(Table2[[#This Row],[Gender]])</f>
        <v>Other</v>
      </c>
    </row>
    <row r="18" spans="1:16" ht="15.75" x14ac:dyDescent="0.25">
      <c r="A18" s="6" t="s">
        <v>68</v>
      </c>
      <c r="B18" s="2" t="s">
        <v>16</v>
      </c>
      <c r="C18" s="7" t="s">
        <v>26</v>
      </c>
      <c r="D18" s="7" t="s">
        <v>35</v>
      </c>
      <c r="E18" s="7">
        <v>67531</v>
      </c>
      <c r="F18" s="16">
        <v>42027</v>
      </c>
      <c r="G18" s="7">
        <v>5</v>
      </c>
      <c r="H18" s="7" t="s">
        <v>36</v>
      </c>
      <c r="I18" s="8" t="s">
        <v>69</v>
      </c>
      <c r="J18" s="14"/>
      <c r="K18" s="18" t="str">
        <f>LEFT(Table2[[#This Row],[Name]], FIND(" ",Table2[[#This Row],[Name]],2))</f>
        <v xml:space="preserve">Eve </v>
      </c>
      <c r="L18" s="17" t="str">
        <f>RIGHT(Table2[[#This Row],[Employee ID]],4)</f>
        <v>1019</v>
      </c>
      <c r="M18" s="17" t="str">
        <f>MID(Table2[[#This Row],[Salary]],2,3)</f>
        <v>753</v>
      </c>
      <c r="N18" s="17" t="str">
        <f>UPPER(Table2[[#This Row],[Name]])</f>
        <v>EVE ADAMS</v>
      </c>
      <c r="O18" s="17" t="str">
        <f>LOWER(Table2[[#This Row],[Country]])</f>
        <v>india</v>
      </c>
      <c r="P18" s="19" t="str">
        <f>PROPER(Table2[[#This Row],[Gender]])</f>
        <v>Female</v>
      </c>
    </row>
    <row r="19" spans="1:16" x14ac:dyDescent="0.25">
      <c r="A19" s="6" t="s">
        <v>70</v>
      </c>
      <c r="B19" s="7" t="s">
        <v>31</v>
      </c>
      <c r="C19" s="7" t="s">
        <v>17</v>
      </c>
      <c r="D19" s="7" t="s">
        <v>27</v>
      </c>
      <c r="E19" s="7">
        <v>67890</v>
      </c>
      <c r="F19" s="16">
        <v>42028</v>
      </c>
      <c r="G19" s="7">
        <v>2</v>
      </c>
      <c r="H19" s="7" t="s">
        <v>19</v>
      </c>
      <c r="I19" s="8" t="s">
        <v>71</v>
      </c>
      <c r="J19" s="14"/>
      <c r="K19" s="18" t="str">
        <f>LEFT(Table2[[#This Row],[Name]], FIND(" ",Table2[[#This Row],[Name]],2))</f>
        <v xml:space="preserve">Jane </v>
      </c>
      <c r="L19" s="17" t="str">
        <f>RIGHT(Table2[[#This Row],[Employee ID]],4)</f>
        <v>1020</v>
      </c>
      <c r="M19" s="17" t="str">
        <f>MID(Table2[[#This Row],[Salary]],2,3)</f>
        <v>789</v>
      </c>
      <c r="N19" s="17" t="str">
        <f>UPPER(Table2[[#This Row],[Name]])</f>
        <v>JANE SMITH</v>
      </c>
      <c r="O19" s="17" t="str">
        <f>LOWER(Table2[[#This Row],[Country]])</f>
        <v>usa</v>
      </c>
      <c r="P19" s="19" t="str">
        <f>PROPER(Table2[[#This Row],[Gender]])</f>
        <v>Other</v>
      </c>
    </row>
    <row r="20" spans="1:16" x14ac:dyDescent="0.25">
      <c r="A20" s="6" t="s">
        <v>72</v>
      </c>
      <c r="B20" s="7" t="s">
        <v>31</v>
      </c>
      <c r="C20" s="7" t="s">
        <v>17</v>
      </c>
      <c r="D20" s="7" t="s">
        <v>27</v>
      </c>
      <c r="E20" s="7">
        <v>98922</v>
      </c>
      <c r="F20" s="16">
        <v>42029</v>
      </c>
      <c r="G20" s="7">
        <v>4</v>
      </c>
      <c r="H20" s="7" t="s">
        <v>36</v>
      </c>
      <c r="I20" s="8" t="s">
        <v>73</v>
      </c>
      <c r="J20" s="14"/>
      <c r="K20" s="18" t="str">
        <f>LEFT(Table2[[#This Row],[Name]], FIND(" ",Table2[[#This Row],[Name]],2))</f>
        <v xml:space="preserve">Jane </v>
      </c>
      <c r="L20" s="17" t="str">
        <f>RIGHT(Table2[[#This Row],[Employee ID]],4)</f>
        <v>1021</v>
      </c>
      <c r="M20" s="17" t="str">
        <f>MID(Table2[[#This Row],[Salary]],2,3)</f>
        <v>892</v>
      </c>
      <c r="N20" s="17" t="str">
        <f>UPPER(Table2[[#This Row],[Name]])</f>
        <v>JANE SMITH</v>
      </c>
      <c r="O20" s="17" t="str">
        <f>LOWER(Table2[[#This Row],[Country]])</f>
        <v>usa</v>
      </c>
      <c r="P20" s="19" t="str">
        <f>PROPER(Table2[[#This Row],[Gender]])</f>
        <v>Female</v>
      </c>
    </row>
    <row r="21" spans="1:16" x14ac:dyDescent="0.25">
      <c r="A21" s="6" t="s">
        <v>74</v>
      </c>
      <c r="B21" s="7" t="s">
        <v>16</v>
      </c>
      <c r="C21" s="7" t="s">
        <v>10</v>
      </c>
      <c r="D21" s="7" t="s">
        <v>35</v>
      </c>
      <c r="E21" s="7">
        <v>38333</v>
      </c>
      <c r="F21" s="16">
        <v>42030</v>
      </c>
      <c r="G21" s="7">
        <v>5</v>
      </c>
      <c r="H21" s="7" t="s">
        <v>28</v>
      </c>
      <c r="I21" s="8" t="s">
        <v>75</v>
      </c>
      <c r="J21" s="14"/>
      <c r="K21" s="18" t="str">
        <f>LEFT(Table2[[#This Row],[Name]], FIND(" ",Table2[[#This Row],[Name]],2))</f>
        <v xml:space="preserve">Eve </v>
      </c>
      <c r="L21" s="17" t="str">
        <f>RIGHT(Table2[[#This Row],[Employee ID]],4)</f>
        <v>1022</v>
      </c>
      <c r="M21" s="17" t="str">
        <f>MID(Table2[[#This Row],[Salary]],2,3)</f>
        <v>833</v>
      </c>
      <c r="N21" s="17" t="str">
        <f>UPPER(Table2[[#This Row],[Name]])</f>
        <v>EVE ADAMS</v>
      </c>
      <c r="O21" s="17" t="str">
        <f>LOWER(Table2[[#This Row],[Country]])</f>
        <v>india</v>
      </c>
      <c r="P21" s="19" t="str">
        <f>PROPER(Table2[[#This Row],[Gender]])</f>
        <v>Male</v>
      </c>
    </row>
    <row r="22" spans="1:16" x14ac:dyDescent="0.25">
      <c r="A22" s="6" t="s">
        <v>76</v>
      </c>
      <c r="B22" s="7" t="s">
        <v>22</v>
      </c>
      <c r="C22" s="7" t="s">
        <v>42</v>
      </c>
      <c r="D22" s="7" t="s">
        <v>47</v>
      </c>
      <c r="E22" s="7">
        <v>36515</v>
      </c>
      <c r="F22" s="16">
        <v>42031</v>
      </c>
      <c r="G22" s="7">
        <v>3</v>
      </c>
      <c r="H22" s="7" t="s">
        <v>28</v>
      </c>
      <c r="I22" s="8" t="s">
        <v>77</v>
      </c>
      <c r="J22" s="14"/>
      <c r="K22" s="18" t="str">
        <f>LEFT(Table2[[#This Row],[Name]], FIND(" ",Table2[[#This Row],[Name]],2))</f>
        <v xml:space="preserve">Alice </v>
      </c>
      <c r="L22" s="17" t="str">
        <f>RIGHT(Table2[[#This Row],[Employee ID]],4)</f>
        <v>1023</v>
      </c>
      <c r="M22" s="17" t="str">
        <f>MID(Table2[[#This Row],[Salary]],2,3)</f>
        <v>651</v>
      </c>
      <c r="N22" s="17" t="str">
        <f>UPPER(Table2[[#This Row],[Name]])</f>
        <v>ALICE BROWN</v>
      </c>
      <c r="O22" s="17" t="str">
        <f>LOWER(Table2[[#This Row],[Country]])</f>
        <v>uk</v>
      </c>
      <c r="P22" s="19" t="str">
        <f>PROPER(Table2[[#This Row],[Gender]])</f>
        <v>Male</v>
      </c>
    </row>
    <row r="23" spans="1:16" x14ac:dyDescent="0.25">
      <c r="A23" s="6" t="s">
        <v>78</v>
      </c>
      <c r="B23" s="7" t="s">
        <v>39</v>
      </c>
      <c r="C23" s="7" t="s">
        <v>10</v>
      </c>
      <c r="D23" s="7" t="s">
        <v>18</v>
      </c>
      <c r="E23" s="7">
        <v>91005</v>
      </c>
      <c r="F23" s="16">
        <v>42032</v>
      </c>
      <c r="G23" s="7">
        <v>1</v>
      </c>
      <c r="H23" s="7" t="s">
        <v>19</v>
      </c>
      <c r="I23" s="8" t="s">
        <v>79</v>
      </c>
      <c r="J23" s="14"/>
      <c r="K23" s="18" t="str">
        <f>LEFT(Table2[[#This Row],[Name]], FIND(" ",Table2[[#This Row],[Name]],2))</f>
        <v xml:space="preserve">Sam </v>
      </c>
      <c r="L23" s="17" t="str">
        <f>RIGHT(Table2[[#This Row],[Employee ID]],4)</f>
        <v>1024</v>
      </c>
      <c r="M23" s="17" t="str">
        <f>MID(Table2[[#This Row],[Salary]],2,3)</f>
        <v>100</v>
      </c>
      <c r="N23" s="17" t="str">
        <f>UPPER(Table2[[#This Row],[Name]])</f>
        <v>SAM WILSON</v>
      </c>
      <c r="O23" s="17" t="str">
        <f>LOWER(Table2[[#This Row],[Country]])</f>
        <v>germany</v>
      </c>
      <c r="P23" s="19" t="str">
        <f>PROPER(Table2[[#This Row],[Gender]])</f>
        <v>Other</v>
      </c>
    </row>
    <row r="24" spans="1:16" x14ac:dyDescent="0.25">
      <c r="A24" s="6" t="s">
        <v>80</v>
      </c>
      <c r="B24" s="7" t="s">
        <v>41</v>
      </c>
      <c r="C24" s="7" t="s">
        <v>17</v>
      </c>
      <c r="D24" s="7" t="s">
        <v>47</v>
      </c>
      <c r="E24" s="7">
        <v>52272</v>
      </c>
      <c r="F24" s="16">
        <v>42033</v>
      </c>
      <c r="G24" s="7">
        <v>3</v>
      </c>
      <c r="H24" s="7" t="s">
        <v>36</v>
      </c>
      <c r="I24" s="8" t="s">
        <v>81</v>
      </c>
      <c r="J24" s="14"/>
      <c r="K24" s="18" t="str">
        <f>LEFT(Table2[[#This Row],[Name]], FIND(" ",Table2[[#This Row],[Name]],2))</f>
        <v xml:space="preserve">Chris </v>
      </c>
      <c r="L24" s="17" t="str">
        <f>RIGHT(Table2[[#This Row],[Employee ID]],4)</f>
        <v>1025</v>
      </c>
      <c r="M24" s="17" t="str">
        <f>MID(Table2[[#This Row],[Salary]],2,3)</f>
        <v>227</v>
      </c>
      <c r="N24" s="17" t="str">
        <f>UPPER(Table2[[#This Row],[Name]])</f>
        <v>CHRIS LEE</v>
      </c>
      <c r="O24" s="17" t="str">
        <f>LOWER(Table2[[#This Row],[Country]])</f>
        <v>uk</v>
      </c>
      <c r="P24" s="19" t="str">
        <f>PROPER(Table2[[#This Row],[Gender]])</f>
        <v>Female</v>
      </c>
    </row>
    <row r="25" spans="1:16" x14ac:dyDescent="0.25">
      <c r="A25" s="6" t="s">
        <v>82</v>
      </c>
      <c r="B25" s="7" t="s">
        <v>16</v>
      </c>
      <c r="C25" s="7" t="s">
        <v>26</v>
      </c>
      <c r="D25" s="7" t="s">
        <v>18</v>
      </c>
      <c r="E25" s="7">
        <v>76518</v>
      </c>
      <c r="F25" s="16">
        <v>42034</v>
      </c>
      <c r="G25" s="7">
        <v>2</v>
      </c>
      <c r="H25" s="7" t="s">
        <v>36</v>
      </c>
      <c r="I25" s="8" t="s">
        <v>83</v>
      </c>
      <c r="J25" s="14"/>
      <c r="K25" s="18" t="str">
        <f>LEFT(Table2[[#This Row],[Name]], FIND(" ",Table2[[#This Row],[Name]],2))</f>
        <v xml:space="preserve">Eve </v>
      </c>
      <c r="L25" s="17" t="str">
        <f>RIGHT(Table2[[#This Row],[Employee ID]],4)</f>
        <v>1026</v>
      </c>
      <c r="M25" s="17" t="str">
        <f>MID(Table2[[#This Row],[Salary]],2,3)</f>
        <v>651</v>
      </c>
      <c r="N25" s="17" t="str">
        <f>UPPER(Table2[[#This Row],[Name]])</f>
        <v>EVE ADAMS</v>
      </c>
      <c r="O25" s="17" t="str">
        <f>LOWER(Table2[[#This Row],[Country]])</f>
        <v>germany</v>
      </c>
      <c r="P25" s="19" t="str">
        <f>PROPER(Table2[[#This Row],[Gender]])</f>
        <v>Female</v>
      </c>
    </row>
    <row r="26" spans="1:16" x14ac:dyDescent="0.25">
      <c r="A26" s="6" t="s">
        <v>84</v>
      </c>
      <c r="B26" s="7" t="s">
        <v>22</v>
      </c>
      <c r="C26" s="7" t="s">
        <v>34</v>
      </c>
      <c r="D26" s="7" t="s">
        <v>47</v>
      </c>
      <c r="E26" s="7">
        <v>41448</v>
      </c>
      <c r="F26" s="16">
        <v>42035</v>
      </c>
      <c r="G26" s="7">
        <v>3</v>
      </c>
      <c r="H26" s="7" t="s">
        <v>19</v>
      </c>
      <c r="I26" s="8" t="s">
        <v>85</v>
      </c>
      <c r="J26" s="14"/>
      <c r="K26" s="18" t="str">
        <f>LEFT(Table2[[#This Row],[Name]], FIND(" ",Table2[[#This Row],[Name]],2))</f>
        <v xml:space="preserve">Alice </v>
      </c>
      <c r="L26" s="17" t="str">
        <f>RIGHT(Table2[[#This Row],[Employee ID]],4)</f>
        <v>1027</v>
      </c>
      <c r="M26" s="17" t="str">
        <f>MID(Table2[[#This Row],[Salary]],2,3)</f>
        <v>144</v>
      </c>
      <c r="N26" s="17" t="str">
        <f>UPPER(Table2[[#This Row],[Name]])</f>
        <v>ALICE BROWN</v>
      </c>
      <c r="O26" s="17" t="str">
        <f>LOWER(Table2[[#This Row],[Country]])</f>
        <v>uk</v>
      </c>
      <c r="P26" s="19" t="str">
        <f>PROPER(Table2[[#This Row],[Gender]])</f>
        <v>Other</v>
      </c>
    </row>
    <row r="27" spans="1:16" x14ac:dyDescent="0.25">
      <c r="A27" s="6" t="s">
        <v>86</v>
      </c>
      <c r="B27" s="7" t="s">
        <v>25</v>
      </c>
      <c r="C27" s="7" t="s">
        <v>17</v>
      </c>
      <c r="D27" s="7" t="s">
        <v>47</v>
      </c>
      <c r="E27" s="7">
        <v>49282</v>
      </c>
      <c r="F27" s="16">
        <v>42036</v>
      </c>
      <c r="G27" s="7">
        <v>2</v>
      </c>
      <c r="H27" s="7" t="s">
        <v>36</v>
      </c>
      <c r="I27" s="8" t="s">
        <v>87</v>
      </c>
      <c r="J27" s="14"/>
      <c r="K27" s="18" t="str">
        <f>LEFT(Table2[[#This Row],[Name]], FIND(" ",Table2[[#This Row],[Name]],2))</f>
        <v xml:space="preserve">John </v>
      </c>
      <c r="L27" s="17" t="str">
        <f>RIGHT(Table2[[#This Row],[Employee ID]],4)</f>
        <v>1028</v>
      </c>
      <c r="M27" s="17" t="str">
        <f>MID(Table2[[#This Row],[Salary]],2,3)</f>
        <v>928</v>
      </c>
      <c r="N27" s="17" t="str">
        <f>UPPER(Table2[[#This Row],[Name]])</f>
        <v>JOHN DOE</v>
      </c>
      <c r="O27" s="17" t="str">
        <f>LOWER(Table2[[#This Row],[Country]])</f>
        <v>uk</v>
      </c>
      <c r="P27" s="19" t="str">
        <f>PROPER(Table2[[#This Row],[Gender]])</f>
        <v>Female</v>
      </c>
    </row>
    <row r="28" spans="1:16" x14ac:dyDescent="0.25">
      <c r="A28" s="6" t="s">
        <v>88</v>
      </c>
      <c r="B28" s="7" t="s">
        <v>54</v>
      </c>
      <c r="C28" s="7" t="s">
        <v>42</v>
      </c>
      <c r="D28" s="7" t="s">
        <v>47</v>
      </c>
      <c r="E28" s="7">
        <v>92959</v>
      </c>
      <c r="F28" s="16">
        <v>42037</v>
      </c>
      <c r="G28" s="7">
        <v>5</v>
      </c>
      <c r="H28" s="7" t="s">
        <v>19</v>
      </c>
      <c r="I28" s="8" t="s">
        <v>89</v>
      </c>
      <c r="J28" s="14"/>
      <c r="K28" s="18" t="str">
        <f>LEFT(Table2[[#This Row],[Name]], FIND(" ",Table2[[#This Row],[Name]],2))</f>
        <v xml:space="preserve">Bob </v>
      </c>
      <c r="L28" s="17" t="str">
        <f>RIGHT(Table2[[#This Row],[Employee ID]],4)</f>
        <v>1029</v>
      </c>
      <c r="M28" s="17" t="str">
        <f>MID(Table2[[#This Row],[Salary]],2,3)</f>
        <v>295</v>
      </c>
      <c r="N28" s="17" t="str">
        <f>UPPER(Table2[[#This Row],[Name]])</f>
        <v>BOB JOHNSON</v>
      </c>
      <c r="O28" s="17" t="str">
        <f>LOWER(Table2[[#This Row],[Country]])</f>
        <v>uk</v>
      </c>
      <c r="P28" s="19" t="str">
        <f>PROPER(Table2[[#This Row],[Gender]])</f>
        <v>Other</v>
      </c>
    </row>
    <row r="29" spans="1:16" x14ac:dyDescent="0.25">
      <c r="A29" s="6" t="s">
        <v>90</v>
      </c>
      <c r="B29" s="7" t="s">
        <v>16</v>
      </c>
      <c r="C29" s="7" t="s">
        <v>42</v>
      </c>
      <c r="D29" s="7" t="s">
        <v>64</v>
      </c>
      <c r="E29" s="7">
        <v>92259</v>
      </c>
      <c r="F29" s="16">
        <v>42038</v>
      </c>
      <c r="G29" s="7">
        <v>1</v>
      </c>
      <c r="H29" s="7" t="s">
        <v>13</v>
      </c>
      <c r="I29" s="8" t="s">
        <v>91</v>
      </c>
      <c r="J29" s="14"/>
      <c r="K29" s="18" t="str">
        <f>LEFT(Table2[[#This Row],[Name]], FIND(" ",Table2[[#This Row],[Name]],2))</f>
        <v xml:space="preserve">Eve </v>
      </c>
      <c r="L29" s="17" t="str">
        <f>RIGHT(Table2[[#This Row],[Employee ID]],4)</f>
        <v>1030</v>
      </c>
      <c r="M29" s="17" t="str">
        <f>MID(Table2[[#This Row],[Salary]],2,3)</f>
        <v>225</v>
      </c>
      <c r="N29" s="17" t="str">
        <f>UPPER(Table2[[#This Row],[Name]])</f>
        <v>EVE ADAMS</v>
      </c>
      <c r="O29" s="17" t="str">
        <f>LOWER(Table2[[#This Row],[Country]])</f>
        <v>australia</v>
      </c>
      <c r="P29" s="19" t="str">
        <f>PROPER(Table2[[#This Row],[Gender]])</f>
        <v>Unknown</v>
      </c>
    </row>
    <row r="30" spans="1:16" x14ac:dyDescent="0.25">
      <c r="A30" s="6" t="s">
        <v>92</v>
      </c>
      <c r="B30" s="7" t="s">
        <v>16</v>
      </c>
      <c r="C30" s="7" t="s">
        <v>17</v>
      </c>
      <c r="D30" s="7" t="s">
        <v>18</v>
      </c>
      <c r="E30" s="7">
        <v>92299</v>
      </c>
      <c r="F30" s="16">
        <v>42039</v>
      </c>
      <c r="G30" s="7">
        <v>3</v>
      </c>
      <c r="H30" s="7" t="s">
        <v>28</v>
      </c>
      <c r="I30" s="8" t="s">
        <v>93</v>
      </c>
      <c r="J30" s="14"/>
      <c r="K30" s="18" t="str">
        <f>LEFT(Table2[[#This Row],[Name]], FIND(" ",Table2[[#This Row],[Name]],2))</f>
        <v xml:space="preserve">Eve </v>
      </c>
      <c r="L30" s="17" t="str">
        <f>RIGHT(Table2[[#This Row],[Employee ID]],4)</f>
        <v>1031</v>
      </c>
      <c r="M30" s="17" t="str">
        <f>MID(Table2[[#This Row],[Salary]],2,3)</f>
        <v>229</v>
      </c>
      <c r="N30" s="17" t="str">
        <f>UPPER(Table2[[#This Row],[Name]])</f>
        <v>EVE ADAMS</v>
      </c>
      <c r="O30" s="17" t="str">
        <f>LOWER(Table2[[#This Row],[Country]])</f>
        <v>germany</v>
      </c>
      <c r="P30" s="19" t="str">
        <f>PROPER(Table2[[#This Row],[Gender]])</f>
        <v>Male</v>
      </c>
    </row>
    <row r="31" spans="1:16" x14ac:dyDescent="0.25">
      <c r="A31" s="6" t="s">
        <v>94</v>
      </c>
      <c r="B31" s="7" t="s">
        <v>39</v>
      </c>
      <c r="C31" s="7" t="s">
        <v>17</v>
      </c>
      <c r="D31" s="7" t="s">
        <v>35</v>
      </c>
      <c r="E31" s="7">
        <v>95586</v>
      </c>
      <c r="F31" s="16">
        <v>42040</v>
      </c>
      <c r="G31" s="7">
        <v>3</v>
      </c>
      <c r="H31" s="7" t="s">
        <v>19</v>
      </c>
      <c r="I31" s="8" t="s">
        <v>95</v>
      </c>
      <c r="J31" s="14"/>
      <c r="K31" s="18" t="str">
        <f>LEFT(Table2[[#This Row],[Name]], FIND(" ",Table2[[#This Row],[Name]],2))</f>
        <v xml:space="preserve">Sam </v>
      </c>
      <c r="L31" s="17" t="str">
        <f>RIGHT(Table2[[#This Row],[Employee ID]],4)</f>
        <v>1032</v>
      </c>
      <c r="M31" s="17" t="str">
        <f>MID(Table2[[#This Row],[Salary]],2,3)</f>
        <v>558</v>
      </c>
      <c r="N31" s="17" t="str">
        <f>UPPER(Table2[[#This Row],[Name]])</f>
        <v>SAM WILSON</v>
      </c>
      <c r="O31" s="17" t="str">
        <f>LOWER(Table2[[#This Row],[Country]])</f>
        <v>india</v>
      </c>
      <c r="P31" s="19" t="str">
        <f>PROPER(Table2[[#This Row],[Gender]])</f>
        <v>Other</v>
      </c>
    </row>
    <row r="32" spans="1:16" x14ac:dyDescent="0.25">
      <c r="A32" s="6" t="s">
        <v>96</v>
      </c>
      <c r="B32" s="7" t="s">
        <v>41</v>
      </c>
      <c r="C32" s="7" t="s">
        <v>42</v>
      </c>
      <c r="D32" s="7" t="s">
        <v>27</v>
      </c>
      <c r="E32" s="7">
        <v>95367</v>
      </c>
      <c r="F32" s="16">
        <v>42041</v>
      </c>
      <c r="G32" s="7">
        <v>2</v>
      </c>
      <c r="H32" s="7" t="s">
        <v>28</v>
      </c>
      <c r="I32" s="8" t="s">
        <v>97</v>
      </c>
      <c r="J32" s="14"/>
      <c r="K32" s="18" t="str">
        <f>LEFT(Table2[[#This Row],[Name]], FIND(" ",Table2[[#This Row],[Name]],2))</f>
        <v xml:space="preserve">Chris </v>
      </c>
      <c r="L32" s="17" t="str">
        <f>RIGHT(Table2[[#This Row],[Employee ID]],4)</f>
        <v>1033</v>
      </c>
      <c r="M32" s="17" t="str">
        <f>MID(Table2[[#This Row],[Salary]],2,3)</f>
        <v>536</v>
      </c>
      <c r="N32" s="17" t="str">
        <f>UPPER(Table2[[#This Row],[Name]])</f>
        <v>CHRIS LEE</v>
      </c>
      <c r="O32" s="17" t="str">
        <f>LOWER(Table2[[#This Row],[Country]])</f>
        <v>usa</v>
      </c>
      <c r="P32" s="19" t="str">
        <f>PROPER(Table2[[#This Row],[Gender]])</f>
        <v>Male</v>
      </c>
    </row>
    <row r="33" spans="1:16" x14ac:dyDescent="0.25">
      <c r="A33" s="6" t="s">
        <v>98</v>
      </c>
      <c r="B33" s="7" t="s">
        <v>25</v>
      </c>
      <c r="C33" s="7" t="s">
        <v>26</v>
      </c>
      <c r="D33" s="7" t="s">
        <v>64</v>
      </c>
      <c r="E33" s="7">
        <v>79549</v>
      </c>
      <c r="F33" s="16">
        <v>42042</v>
      </c>
      <c r="G33" s="7">
        <v>3</v>
      </c>
      <c r="H33" s="7" t="s">
        <v>36</v>
      </c>
      <c r="I33" s="8" t="s">
        <v>99</v>
      </c>
      <c r="J33" s="14"/>
      <c r="K33" s="18" t="str">
        <f>LEFT(Table2[[#This Row],[Name]], FIND(" ",Table2[[#This Row],[Name]],2))</f>
        <v xml:space="preserve">John </v>
      </c>
      <c r="L33" s="17" t="str">
        <f>RIGHT(Table2[[#This Row],[Employee ID]],4)</f>
        <v>1034</v>
      </c>
      <c r="M33" s="17" t="str">
        <f>MID(Table2[[#This Row],[Salary]],2,3)</f>
        <v>954</v>
      </c>
      <c r="N33" s="17" t="str">
        <f>UPPER(Table2[[#This Row],[Name]])</f>
        <v>JOHN DOE</v>
      </c>
      <c r="O33" s="17" t="str">
        <f>LOWER(Table2[[#This Row],[Country]])</f>
        <v>australia</v>
      </c>
      <c r="P33" s="19" t="str">
        <f>PROPER(Table2[[#This Row],[Gender]])</f>
        <v>Female</v>
      </c>
    </row>
    <row r="34" spans="1:16" x14ac:dyDescent="0.25">
      <c r="A34" s="6" t="s">
        <v>100</v>
      </c>
      <c r="B34" s="7" t="s">
        <v>22</v>
      </c>
      <c r="C34" s="7" t="s">
        <v>34</v>
      </c>
      <c r="D34" s="7" t="s">
        <v>47</v>
      </c>
      <c r="E34" s="7">
        <v>54463</v>
      </c>
      <c r="F34" s="16">
        <v>42043</v>
      </c>
      <c r="G34" s="7">
        <v>4</v>
      </c>
      <c r="H34" s="7" t="s">
        <v>28</v>
      </c>
      <c r="I34" s="8" t="s">
        <v>14</v>
      </c>
      <c r="J34" s="14"/>
      <c r="K34" s="18" t="str">
        <f>LEFT(Table2[[#This Row],[Name]], FIND(" ",Table2[[#This Row],[Name]],2))</f>
        <v xml:space="preserve">Alice </v>
      </c>
      <c r="L34" s="17" t="str">
        <f>RIGHT(Table2[[#This Row],[Employee ID]],4)</f>
        <v>1035</v>
      </c>
      <c r="M34" s="17" t="str">
        <f>MID(Table2[[#This Row],[Salary]],2,3)</f>
        <v>446</v>
      </c>
      <c r="N34" s="17" t="str">
        <f>UPPER(Table2[[#This Row],[Name]])</f>
        <v>ALICE BROWN</v>
      </c>
      <c r="O34" s="17" t="str">
        <f>LOWER(Table2[[#This Row],[Country]])</f>
        <v>uk</v>
      </c>
      <c r="P34" s="19" t="str">
        <f>PROPER(Table2[[#This Row],[Gender]])</f>
        <v>Male</v>
      </c>
    </row>
    <row r="35" spans="1:16" x14ac:dyDescent="0.25">
      <c r="A35" s="6" t="s">
        <v>101</v>
      </c>
      <c r="B35" s="7" t="s">
        <v>22</v>
      </c>
      <c r="C35" s="7" t="s">
        <v>34</v>
      </c>
      <c r="D35" s="7" t="s">
        <v>27</v>
      </c>
      <c r="E35" s="7">
        <v>89781</v>
      </c>
      <c r="F35" s="16">
        <v>42044</v>
      </c>
      <c r="G35" s="7">
        <v>5</v>
      </c>
      <c r="H35" s="7" t="s">
        <v>36</v>
      </c>
      <c r="I35" s="8" t="s">
        <v>102</v>
      </c>
      <c r="J35" s="14"/>
      <c r="K35" s="18" t="str">
        <f>LEFT(Table2[[#This Row],[Name]], FIND(" ",Table2[[#This Row],[Name]],2))</f>
        <v xml:space="preserve">Alice </v>
      </c>
      <c r="L35" s="17" t="str">
        <f>RIGHT(Table2[[#This Row],[Employee ID]],4)</f>
        <v>1036</v>
      </c>
      <c r="M35" s="17" t="str">
        <f>MID(Table2[[#This Row],[Salary]],2,3)</f>
        <v>978</v>
      </c>
      <c r="N35" s="17" t="str">
        <f>UPPER(Table2[[#This Row],[Name]])</f>
        <v>ALICE BROWN</v>
      </c>
      <c r="O35" s="17" t="str">
        <f>LOWER(Table2[[#This Row],[Country]])</f>
        <v>usa</v>
      </c>
      <c r="P35" s="19" t="str">
        <f>PROPER(Table2[[#This Row],[Gender]])</f>
        <v>Female</v>
      </c>
    </row>
    <row r="36" spans="1:16" x14ac:dyDescent="0.25">
      <c r="A36" s="6" t="s">
        <v>103</v>
      </c>
      <c r="B36" s="7" t="s">
        <v>22</v>
      </c>
      <c r="C36" s="7" t="s">
        <v>17</v>
      </c>
      <c r="D36" s="7" t="s">
        <v>64</v>
      </c>
      <c r="E36" s="7">
        <v>64796</v>
      </c>
      <c r="F36" s="16">
        <v>42045</v>
      </c>
      <c r="G36" s="7">
        <v>5</v>
      </c>
      <c r="H36" s="7" t="s">
        <v>19</v>
      </c>
      <c r="I36" s="8" t="s">
        <v>104</v>
      </c>
      <c r="J36" s="14"/>
      <c r="K36" s="18" t="str">
        <f>LEFT(Table2[[#This Row],[Name]], FIND(" ",Table2[[#This Row],[Name]],2))</f>
        <v xml:space="preserve">Alice </v>
      </c>
      <c r="L36" s="17" t="str">
        <f>RIGHT(Table2[[#This Row],[Employee ID]],4)</f>
        <v>1037</v>
      </c>
      <c r="M36" s="17" t="str">
        <f>MID(Table2[[#This Row],[Salary]],2,3)</f>
        <v>479</v>
      </c>
      <c r="N36" s="17" t="str">
        <f>UPPER(Table2[[#This Row],[Name]])</f>
        <v>ALICE BROWN</v>
      </c>
      <c r="O36" s="17" t="str">
        <f>LOWER(Table2[[#This Row],[Country]])</f>
        <v>australia</v>
      </c>
      <c r="P36" s="19" t="str">
        <f>PROPER(Table2[[#This Row],[Gender]])</f>
        <v>Other</v>
      </c>
    </row>
    <row r="37" spans="1:16" x14ac:dyDescent="0.25">
      <c r="A37" s="6" t="s">
        <v>105</v>
      </c>
      <c r="B37" s="7" t="s">
        <v>25</v>
      </c>
      <c r="C37" s="7" t="s">
        <v>42</v>
      </c>
      <c r="D37" s="7" t="s">
        <v>47</v>
      </c>
      <c r="E37" s="7">
        <v>52093</v>
      </c>
      <c r="F37" s="16">
        <v>42046</v>
      </c>
      <c r="G37" s="7">
        <v>5</v>
      </c>
      <c r="H37" s="7" t="s">
        <v>28</v>
      </c>
      <c r="I37" s="8" t="s">
        <v>106</v>
      </c>
      <c r="J37" s="14"/>
      <c r="K37" s="18" t="str">
        <f>LEFT(Table2[[#This Row],[Name]], FIND(" ",Table2[[#This Row],[Name]],2))</f>
        <v xml:space="preserve">John </v>
      </c>
      <c r="L37" s="17" t="str">
        <f>RIGHT(Table2[[#This Row],[Employee ID]],4)</f>
        <v>1038</v>
      </c>
      <c r="M37" s="17" t="str">
        <f>MID(Table2[[#This Row],[Salary]],2,3)</f>
        <v>209</v>
      </c>
      <c r="N37" s="17" t="str">
        <f>UPPER(Table2[[#This Row],[Name]])</f>
        <v>JOHN DOE</v>
      </c>
      <c r="O37" s="17" t="str">
        <f>LOWER(Table2[[#This Row],[Country]])</f>
        <v>uk</v>
      </c>
      <c r="P37" s="19" t="str">
        <f>PROPER(Table2[[#This Row],[Gender]])</f>
        <v>Male</v>
      </c>
    </row>
    <row r="38" spans="1:16" x14ac:dyDescent="0.25">
      <c r="A38" s="6" t="s">
        <v>107</v>
      </c>
      <c r="B38" s="7" t="s">
        <v>41</v>
      </c>
      <c r="C38" s="7" t="s">
        <v>17</v>
      </c>
      <c r="D38" s="7" t="s">
        <v>47</v>
      </c>
      <c r="E38" s="7">
        <v>48224</v>
      </c>
      <c r="F38" s="16">
        <v>42047</v>
      </c>
      <c r="G38" s="7">
        <v>3</v>
      </c>
      <c r="H38" s="7" t="s">
        <v>36</v>
      </c>
      <c r="I38" s="8" t="s">
        <v>108</v>
      </c>
      <c r="J38" s="14"/>
      <c r="K38" s="18" t="str">
        <f>LEFT(Table2[[#This Row],[Name]], FIND(" ",Table2[[#This Row],[Name]],2))</f>
        <v xml:space="preserve">Chris </v>
      </c>
      <c r="L38" s="17" t="str">
        <f>RIGHT(Table2[[#This Row],[Employee ID]],4)</f>
        <v>1039</v>
      </c>
      <c r="M38" s="17" t="str">
        <f>MID(Table2[[#This Row],[Salary]],2,3)</f>
        <v>822</v>
      </c>
      <c r="N38" s="17" t="str">
        <f>UPPER(Table2[[#This Row],[Name]])</f>
        <v>CHRIS LEE</v>
      </c>
      <c r="O38" s="17" t="str">
        <f>LOWER(Table2[[#This Row],[Country]])</f>
        <v>uk</v>
      </c>
      <c r="P38" s="19" t="str">
        <f>PROPER(Table2[[#This Row],[Gender]])</f>
        <v>Female</v>
      </c>
    </row>
    <row r="39" spans="1:16" x14ac:dyDescent="0.25">
      <c r="A39" s="6" t="s">
        <v>109</v>
      </c>
      <c r="B39" s="7" t="s">
        <v>54</v>
      </c>
      <c r="C39" s="7" t="s">
        <v>10</v>
      </c>
      <c r="D39" s="7" t="s">
        <v>47</v>
      </c>
      <c r="E39" s="7">
        <v>56892</v>
      </c>
      <c r="F39" s="16">
        <v>42048</v>
      </c>
      <c r="G39" s="7">
        <v>4</v>
      </c>
      <c r="H39" s="7" t="s">
        <v>36</v>
      </c>
      <c r="I39" s="8" t="s">
        <v>110</v>
      </c>
      <c r="J39" s="14"/>
      <c r="K39" s="18" t="str">
        <f>LEFT(Table2[[#This Row],[Name]], FIND(" ",Table2[[#This Row],[Name]],2))</f>
        <v xml:space="preserve">Bob </v>
      </c>
      <c r="L39" s="17" t="str">
        <f>RIGHT(Table2[[#This Row],[Employee ID]],4)</f>
        <v>1040</v>
      </c>
      <c r="M39" s="17" t="str">
        <f>MID(Table2[[#This Row],[Salary]],2,3)</f>
        <v>689</v>
      </c>
      <c r="N39" s="17" t="str">
        <f>UPPER(Table2[[#This Row],[Name]])</f>
        <v>BOB JOHNSON</v>
      </c>
      <c r="O39" s="17" t="str">
        <f>LOWER(Table2[[#This Row],[Country]])</f>
        <v>uk</v>
      </c>
      <c r="P39" s="19" t="str">
        <f>PROPER(Table2[[#This Row],[Gender]])</f>
        <v>Female</v>
      </c>
    </row>
    <row r="40" spans="1:16" x14ac:dyDescent="0.25">
      <c r="A40" s="6" t="s">
        <v>111</v>
      </c>
      <c r="B40" s="7" t="s">
        <v>22</v>
      </c>
      <c r="C40" s="7" t="s">
        <v>34</v>
      </c>
      <c r="D40" s="7" t="s">
        <v>18</v>
      </c>
      <c r="E40" s="7">
        <v>33956</v>
      </c>
      <c r="F40" s="16">
        <v>42049</v>
      </c>
      <c r="G40" s="7">
        <v>1</v>
      </c>
      <c r="H40" s="7" t="s">
        <v>28</v>
      </c>
      <c r="I40" s="8" t="s">
        <v>112</v>
      </c>
      <c r="J40" s="14"/>
      <c r="K40" s="18" t="str">
        <f>LEFT(Table2[[#This Row],[Name]], FIND(" ",Table2[[#This Row],[Name]],2))</f>
        <v xml:space="preserve">Alice </v>
      </c>
      <c r="L40" s="17" t="str">
        <f>RIGHT(Table2[[#This Row],[Employee ID]],4)</f>
        <v>1041</v>
      </c>
      <c r="M40" s="17" t="str">
        <f>MID(Table2[[#This Row],[Salary]],2,3)</f>
        <v>395</v>
      </c>
      <c r="N40" s="17" t="str">
        <f>UPPER(Table2[[#This Row],[Name]])</f>
        <v>ALICE BROWN</v>
      </c>
      <c r="O40" s="17" t="str">
        <f>LOWER(Table2[[#This Row],[Country]])</f>
        <v>germany</v>
      </c>
      <c r="P40" s="19" t="str">
        <f>PROPER(Table2[[#This Row],[Gender]])</f>
        <v>Male</v>
      </c>
    </row>
    <row r="41" spans="1:16" x14ac:dyDescent="0.25">
      <c r="A41" s="6" t="s">
        <v>113</v>
      </c>
      <c r="B41" s="7" t="s">
        <v>54</v>
      </c>
      <c r="C41" s="7" t="s">
        <v>26</v>
      </c>
      <c r="D41" s="7" t="s">
        <v>64</v>
      </c>
      <c r="E41" s="7">
        <v>64913</v>
      </c>
      <c r="F41" s="16">
        <v>42050</v>
      </c>
      <c r="G41" s="7">
        <v>1</v>
      </c>
      <c r="H41" s="7" t="s">
        <v>36</v>
      </c>
      <c r="I41" s="8" t="s">
        <v>114</v>
      </c>
      <c r="J41" s="14"/>
      <c r="K41" s="18" t="str">
        <f>LEFT(Table2[[#This Row],[Name]], FIND(" ",Table2[[#This Row],[Name]],2))</f>
        <v xml:space="preserve">Bob </v>
      </c>
      <c r="L41" s="17" t="str">
        <f>RIGHT(Table2[[#This Row],[Employee ID]],4)</f>
        <v>1042</v>
      </c>
      <c r="M41" s="17" t="str">
        <f>MID(Table2[[#This Row],[Salary]],2,3)</f>
        <v>491</v>
      </c>
      <c r="N41" s="17" t="str">
        <f>UPPER(Table2[[#This Row],[Name]])</f>
        <v>BOB JOHNSON</v>
      </c>
      <c r="O41" s="17" t="str">
        <f>LOWER(Table2[[#This Row],[Country]])</f>
        <v>australia</v>
      </c>
      <c r="P41" s="19" t="str">
        <f>PROPER(Table2[[#This Row],[Gender]])</f>
        <v>Female</v>
      </c>
    </row>
    <row r="42" spans="1:16" x14ac:dyDescent="0.25">
      <c r="A42" s="6" t="s">
        <v>115</v>
      </c>
      <c r="B42" s="7" t="s">
        <v>22</v>
      </c>
      <c r="C42" s="7" t="s">
        <v>42</v>
      </c>
      <c r="D42" s="7" t="s">
        <v>64</v>
      </c>
      <c r="E42" s="7">
        <v>35326</v>
      </c>
      <c r="F42" s="16">
        <v>42051</v>
      </c>
      <c r="G42" s="7">
        <v>5</v>
      </c>
      <c r="H42" s="7" t="s">
        <v>36</v>
      </c>
      <c r="I42" s="8" t="s">
        <v>116</v>
      </c>
      <c r="J42" s="14"/>
      <c r="K42" s="18" t="str">
        <f>LEFT(Table2[[#This Row],[Name]], FIND(" ",Table2[[#This Row],[Name]],2))</f>
        <v xml:space="preserve">Alice </v>
      </c>
      <c r="L42" s="17" t="str">
        <f>RIGHT(Table2[[#This Row],[Employee ID]],4)</f>
        <v>1043</v>
      </c>
      <c r="M42" s="17" t="str">
        <f>MID(Table2[[#This Row],[Salary]],2,3)</f>
        <v>532</v>
      </c>
      <c r="N42" s="17" t="str">
        <f>UPPER(Table2[[#This Row],[Name]])</f>
        <v>ALICE BROWN</v>
      </c>
      <c r="O42" s="17" t="str">
        <f>LOWER(Table2[[#This Row],[Country]])</f>
        <v>australia</v>
      </c>
      <c r="P42" s="19" t="str">
        <f>PROPER(Table2[[#This Row],[Gender]])</f>
        <v>Female</v>
      </c>
    </row>
    <row r="43" spans="1:16" x14ac:dyDescent="0.25">
      <c r="A43" s="6" t="s">
        <v>117</v>
      </c>
      <c r="B43" s="7" t="s">
        <v>41</v>
      </c>
      <c r="C43" s="7" t="s">
        <v>10</v>
      </c>
      <c r="D43" s="7" t="s">
        <v>47</v>
      </c>
      <c r="E43" s="7">
        <v>81610</v>
      </c>
      <c r="F43" s="16">
        <v>42052</v>
      </c>
      <c r="G43" s="7">
        <v>1</v>
      </c>
      <c r="H43" s="7" t="s">
        <v>28</v>
      </c>
      <c r="I43" s="8" t="s">
        <v>118</v>
      </c>
      <c r="J43" s="14"/>
      <c r="K43" s="18" t="str">
        <f>LEFT(Table2[[#This Row],[Name]], FIND(" ",Table2[[#This Row],[Name]],2))</f>
        <v xml:space="preserve">Chris </v>
      </c>
      <c r="L43" s="17" t="str">
        <f>RIGHT(Table2[[#This Row],[Employee ID]],4)</f>
        <v>1044</v>
      </c>
      <c r="M43" s="17" t="str">
        <f>MID(Table2[[#This Row],[Salary]],2,3)</f>
        <v>161</v>
      </c>
      <c r="N43" s="17" t="str">
        <f>UPPER(Table2[[#This Row],[Name]])</f>
        <v>CHRIS LEE</v>
      </c>
      <c r="O43" s="17" t="str">
        <f>LOWER(Table2[[#This Row],[Country]])</f>
        <v>uk</v>
      </c>
      <c r="P43" s="19" t="str">
        <f>PROPER(Table2[[#This Row],[Gender]])</f>
        <v>Male</v>
      </c>
    </row>
    <row r="44" spans="1:16" x14ac:dyDescent="0.25">
      <c r="A44" s="6" t="s">
        <v>119</v>
      </c>
      <c r="B44" s="7" t="s">
        <v>41</v>
      </c>
      <c r="C44" s="7" t="s">
        <v>17</v>
      </c>
      <c r="D44" s="7" t="s">
        <v>27</v>
      </c>
      <c r="E44" s="7">
        <v>58962</v>
      </c>
      <c r="F44" s="16">
        <v>42053</v>
      </c>
      <c r="G44" s="7">
        <v>3</v>
      </c>
      <c r="H44" s="7" t="s">
        <v>19</v>
      </c>
      <c r="I44" s="8" t="s">
        <v>20</v>
      </c>
      <c r="J44" s="14"/>
      <c r="K44" s="18" t="str">
        <f>LEFT(Table2[[#This Row],[Name]], FIND(" ",Table2[[#This Row],[Name]],2))</f>
        <v xml:space="preserve">Chris </v>
      </c>
      <c r="L44" s="17" t="str">
        <f>RIGHT(Table2[[#This Row],[Employee ID]],4)</f>
        <v>1045</v>
      </c>
      <c r="M44" s="17" t="str">
        <f>MID(Table2[[#This Row],[Salary]],2,3)</f>
        <v>896</v>
      </c>
      <c r="N44" s="17" t="str">
        <f>UPPER(Table2[[#This Row],[Name]])</f>
        <v>CHRIS LEE</v>
      </c>
      <c r="O44" s="17" t="str">
        <f>LOWER(Table2[[#This Row],[Country]])</f>
        <v>usa</v>
      </c>
      <c r="P44" s="19" t="str">
        <f>PROPER(Table2[[#This Row],[Gender]])</f>
        <v>Other</v>
      </c>
    </row>
    <row r="45" spans="1:16" x14ac:dyDescent="0.25">
      <c r="A45" s="6" t="s">
        <v>120</v>
      </c>
      <c r="B45" s="7" t="s">
        <v>41</v>
      </c>
      <c r="C45" s="7" t="s">
        <v>34</v>
      </c>
      <c r="D45" s="7" t="s">
        <v>18</v>
      </c>
      <c r="E45" s="7">
        <v>92701</v>
      </c>
      <c r="F45" s="16">
        <v>42054</v>
      </c>
      <c r="G45" s="7">
        <v>3</v>
      </c>
      <c r="H45" s="7" t="s">
        <v>19</v>
      </c>
      <c r="I45" s="8" t="s">
        <v>121</v>
      </c>
      <c r="J45" s="14"/>
      <c r="K45" s="18" t="str">
        <f>LEFT(Table2[[#This Row],[Name]], FIND(" ",Table2[[#This Row],[Name]],2))</f>
        <v xml:space="preserve">Chris </v>
      </c>
      <c r="L45" s="17" t="str">
        <f>RIGHT(Table2[[#This Row],[Employee ID]],4)</f>
        <v>1046</v>
      </c>
      <c r="M45" s="17" t="str">
        <f>MID(Table2[[#This Row],[Salary]],2,3)</f>
        <v>270</v>
      </c>
      <c r="N45" s="17" t="str">
        <f>UPPER(Table2[[#This Row],[Name]])</f>
        <v>CHRIS LEE</v>
      </c>
      <c r="O45" s="17" t="str">
        <f>LOWER(Table2[[#This Row],[Country]])</f>
        <v>germany</v>
      </c>
      <c r="P45" s="19" t="str">
        <f>PROPER(Table2[[#This Row],[Gender]])</f>
        <v>Other</v>
      </c>
    </row>
    <row r="46" spans="1:16" x14ac:dyDescent="0.25">
      <c r="A46" s="6" t="s">
        <v>122</v>
      </c>
      <c r="B46" s="7" t="s">
        <v>41</v>
      </c>
      <c r="C46" s="7" t="s">
        <v>17</v>
      </c>
      <c r="D46" s="7" t="s">
        <v>35</v>
      </c>
      <c r="E46" s="7">
        <v>58245</v>
      </c>
      <c r="F46" s="16">
        <v>42055</v>
      </c>
      <c r="G46" s="7">
        <v>4</v>
      </c>
      <c r="H46" s="7" t="s">
        <v>36</v>
      </c>
      <c r="I46" s="8" t="s">
        <v>123</v>
      </c>
      <c r="J46" s="14"/>
      <c r="K46" s="18" t="str">
        <f>LEFT(Table2[[#This Row],[Name]], FIND(" ",Table2[[#This Row],[Name]],2))</f>
        <v xml:space="preserve">Chris </v>
      </c>
      <c r="L46" s="17" t="str">
        <f>RIGHT(Table2[[#This Row],[Employee ID]],4)</f>
        <v>1047</v>
      </c>
      <c r="M46" s="17" t="str">
        <f>MID(Table2[[#This Row],[Salary]],2,3)</f>
        <v>824</v>
      </c>
      <c r="N46" s="17" t="str">
        <f>UPPER(Table2[[#This Row],[Name]])</f>
        <v>CHRIS LEE</v>
      </c>
      <c r="O46" s="17" t="str">
        <f>LOWER(Table2[[#This Row],[Country]])</f>
        <v>india</v>
      </c>
      <c r="P46" s="19" t="str">
        <f>PROPER(Table2[[#This Row],[Gender]])</f>
        <v>Female</v>
      </c>
    </row>
    <row r="47" spans="1:16" x14ac:dyDescent="0.25">
      <c r="A47" s="6" t="s">
        <v>124</v>
      </c>
      <c r="B47" s="7" t="s">
        <v>25</v>
      </c>
      <c r="C47" s="7" t="s">
        <v>10</v>
      </c>
      <c r="D47" s="7" t="s">
        <v>64</v>
      </c>
      <c r="E47" s="7">
        <v>66513</v>
      </c>
      <c r="F47" s="16">
        <v>42056</v>
      </c>
      <c r="G47" s="7">
        <v>2</v>
      </c>
      <c r="H47" s="7" t="s">
        <v>19</v>
      </c>
      <c r="I47" s="8" t="s">
        <v>37</v>
      </c>
      <c r="J47" s="14"/>
      <c r="K47" s="18" t="str">
        <f>LEFT(Table2[[#This Row],[Name]], FIND(" ",Table2[[#This Row],[Name]],2))</f>
        <v xml:space="preserve">John </v>
      </c>
      <c r="L47" s="17" t="str">
        <f>RIGHT(Table2[[#This Row],[Employee ID]],4)</f>
        <v>1048</v>
      </c>
      <c r="M47" s="17" t="str">
        <f>MID(Table2[[#This Row],[Salary]],2,3)</f>
        <v>651</v>
      </c>
      <c r="N47" s="17" t="str">
        <f>UPPER(Table2[[#This Row],[Name]])</f>
        <v>JOHN DOE</v>
      </c>
      <c r="O47" s="17" t="str">
        <f>LOWER(Table2[[#This Row],[Country]])</f>
        <v>australia</v>
      </c>
      <c r="P47" s="19" t="str">
        <f>PROPER(Table2[[#This Row],[Gender]])</f>
        <v>Other</v>
      </c>
    </row>
    <row r="48" spans="1:16" x14ac:dyDescent="0.25">
      <c r="A48" s="6" t="s">
        <v>125</v>
      </c>
      <c r="B48" s="7" t="s">
        <v>16</v>
      </c>
      <c r="C48" s="7" t="s">
        <v>17</v>
      </c>
      <c r="D48" s="7" t="s">
        <v>18</v>
      </c>
      <c r="E48" s="7">
        <v>78720</v>
      </c>
      <c r="F48" s="16">
        <v>42057</v>
      </c>
      <c r="G48" s="7">
        <v>5</v>
      </c>
      <c r="H48" s="7" t="s">
        <v>36</v>
      </c>
      <c r="I48" s="8" t="s">
        <v>110</v>
      </c>
      <c r="J48" s="14"/>
      <c r="K48" s="18" t="str">
        <f>LEFT(Table2[[#This Row],[Name]], FIND(" ",Table2[[#This Row],[Name]],2))</f>
        <v xml:space="preserve">Eve </v>
      </c>
      <c r="L48" s="17" t="str">
        <f>RIGHT(Table2[[#This Row],[Employee ID]],4)</f>
        <v>1049</v>
      </c>
      <c r="M48" s="17" t="str">
        <f>MID(Table2[[#This Row],[Salary]],2,3)</f>
        <v>872</v>
      </c>
      <c r="N48" s="17" t="str">
        <f>UPPER(Table2[[#This Row],[Name]])</f>
        <v>EVE ADAMS</v>
      </c>
      <c r="O48" s="17" t="str">
        <f>LOWER(Table2[[#This Row],[Country]])</f>
        <v>germany</v>
      </c>
      <c r="P48" s="19" t="str">
        <f>PROPER(Table2[[#This Row],[Gender]])</f>
        <v>Female</v>
      </c>
    </row>
    <row r="49" spans="1:16" x14ac:dyDescent="0.25">
      <c r="A49" s="6" t="s">
        <v>126</v>
      </c>
      <c r="B49" s="7" t="s">
        <v>41</v>
      </c>
      <c r="C49" s="7" t="s">
        <v>26</v>
      </c>
      <c r="D49" s="7" t="s">
        <v>18</v>
      </c>
      <c r="E49" s="7">
        <v>30686</v>
      </c>
      <c r="F49" s="16">
        <v>42058</v>
      </c>
      <c r="G49" s="7">
        <v>2</v>
      </c>
      <c r="H49" s="7" t="s">
        <v>36</v>
      </c>
      <c r="I49" s="8" t="s">
        <v>127</v>
      </c>
      <c r="J49" s="14"/>
      <c r="K49" s="18" t="str">
        <f>LEFT(Table2[[#This Row],[Name]], FIND(" ",Table2[[#This Row],[Name]],2))</f>
        <v xml:space="preserve">Chris </v>
      </c>
      <c r="L49" s="17" t="str">
        <f>RIGHT(Table2[[#This Row],[Employee ID]],4)</f>
        <v>1050</v>
      </c>
      <c r="M49" s="17" t="str">
        <f>MID(Table2[[#This Row],[Salary]],2,3)</f>
        <v>068</v>
      </c>
      <c r="N49" s="17" t="str">
        <f>UPPER(Table2[[#This Row],[Name]])</f>
        <v>CHRIS LEE</v>
      </c>
      <c r="O49" s="17" t="str">
        <f>LOWER(Table2[[#This Row],[Country]])</f>
        <v>germany</v>
      </c>
      <c r="P49" s="19" t="str">
        <f>PROPER(Table2[[#This Row],[Gender]])</f>
        <v>Female</v>
      </c>
    </row>
    <row r="50" spans="1:16" x14ac:dyDescent="0.25">
      <c r="A50" s="6" t="s">
        <v>128</v>
      </c>
      <c r="B50" s="7" t="s">
        <v>39</v>
      </c>
      <c r="C50" s="7" t="s">
        <v>26</v>
      </c>
      <c r="D50" s="7" t="s">
        <v>35</v>
      </c>
      <c r="E50" s="7">
        <v>39423</v>
      </c>
      <c r="F50" s="16">
        <v>42059</v>
      </c>
      <c r="G50" s="7">
        <v>5</v>
      </c>
      <c r="H50" s="7" t="s">
        <v>28</v>
      </c>
      <c r="I50" s="8" t="s">
        <v>129</v>
      </c>
      <c r="J50" s="14"/>
      <c r="K50" s="18" t="str">
        <f>LEFT(Table2[[#This Row],[Name]], FIND(" ",Table2[[#This Row],[Name]],2))</f>
        <v xml:space="preserve">Sam </v>
      </c>
      <c r="L50" s="17" t="str">
        <f>RIGHT(Table2[[#This Row],[Employee ID]],4)</f>
        <v>1051</v>
      </c>
      <c r="M50" s="17" t="str">
        <f>MID(Table2[[#This Row],[Salary]],2,3)</f>
        <v>942</v>
      </c>
      <c r="N50" s="17" t="str">
        <f>UPPER(Table2[[#This Row],[Name]])</f>
        <v>SAM WILSON</v>
      </c>
      <c r="O50" s="17" t="str">
        <f>LOWER(Table2[[#This Row],[Country]])</f>
        <v>india</v>
      </c>
      <c r="P50" s="19" t="str">
        <f>PROPER(Table2[[#This Row],[Gender]])</f>
        <v>Male</v>
      </c>
    </row>
    <row r="51" spans="1:16" x14ac:dyDescent="0.25">
      <c r="A51" s="6" t="s">
        <v>130</v>
      </c>
      <c r="B51" s="7" t="s">
        <v>16</v>
      </c>
      <c r="C51" s="7" t="s">
        <v>42</v>
      </c>
      <c r="D51" s="7" t="s">
        <v>64</v>
      </c>
      <c r="E51" s="7">
        <v>30280</v>
      </c>
      <c r="F51" s="16">
        <v>42060</v>
      </c>
      <c r="G51" s="7">
        <v>1</v>
      </c>
      <c r="H51" s="7" t="s">
        <v>36</v>
      </c>
      <c r="I51" s="8" t="s">
        <v>131</v>
      </c>
      <c r="J51" s="14"/>
      <c r="K51" s="18" t="str">
        <f>LEFT(Table2[[#This Row],[Name]], FIND(" ",Table2[[#This Row],[Name]],2))</f>
        <v xml:space="preserve">Eve </v>
      </c>
      <c r="L51" s="17" t="str">
        <f>RIGHT(Table2[[#This Row],[Employee ID]],4)</f>
        <v>1052</v>
      </c>
      <c r="M51" s="17" t="str">
        <f>MID(Table2[[#This Row],[Salary]],2,3)</f>
        <v>028</v>
      </c>
      <c r="N51" s="17" t="str">
        <f>UPPER(Table2[[#This Row],[Name]])</f>
        <v>EVE ADAMS</v>
      </c>
      <c r="O51" s="17" t="str">
        <f>LOWER(Table2[[#This Row],[Country]])</f>
        <v>australia</v>
      </c>
      <c r="P51" s="19" t="str">
        <f>PROPER(Table2[[#This Row],[Gender]])</f>
        <v>Female</v>
      </c>
    </row>
    <row r="52" spans="1:16" x14ac:dyDescent="0.25">
      <c r="A52" s="6" t="s">
        <v>132</v>
      </c>
      <c r="B52" s="7" t="s">
        <v>16</v>
      </c>
      <c r="C52" s="7" t="s">
        <v>10</v>
      </c>
      <c r="D52" s="7" t="s">
        <v>47</v>
      </c>
      <c r="E52" s="7">
        <v>33352</v>
      </c>
      <c r="F52" s="16">
        <v>42061</v>
      </c>
      <c r="G52" s="7">
        <v>3</v>
      </c>
      <c r="H52" s="7" t="s">
        <v>36</v>
      </c>
      <c r="I52" s="8" t="s">
        <v>71</v>
      </c>
      <c r="J52" s="14"/>
      <c r="K52" s="18" t="str">
        <f>LEFT(Table2[[#This Row],[Name]], FIND(" ",Table2[[#This Row],[Name]],2))</f>
        <v xml:space="preserve">Eve </v>
      </c>
      <c r="L52" s="17" t="str">
        <f>RIGHT(Table2[[#This Row],[Employee ID]],4)</f>
        <v>1053</v>
      </c>
      <c r="M52" s="17" t="str">
        <f>MID(Table2[[#This Row],[Salary]],2,3)</f>
        <v>335</v>
      </c>
      <c r="N52" s="17" t="str">
        <f>UPPER(Table2[[#This Row],[Name]])</f>
        <v>EVE ADAMS</v>
      </c>
      <c r="O52" s="17" t="str">
        <f>LOWER(Table2[[#This Row],[Country]])</f>
        <v>uk</v>
      </c>
      <c r="P52" s="19" t="str">
        <f>PROPER(Table2[[#This Row],[Gender]])</f>
        <v>Female</v>
      </c>
    </row>
    <row r="53" spans="1:16" x14ac:dyDescent="0.25">
      <c r="A53" s="6" t="s">
        <v>133</v>
      </c>
      <c r="B53" s="7" t="s">
        <v>54</v>
      </c>
      <c r="C53" s="7" t="s">
        <v>42</v>
      </c>
      <c r="D53" s="7" t="s">
        <v>47</v>
      </c>
      <c r="E53" s="7">
        <v>75633</v>
      </c>
      <c r="F53" s="16">
        <v>42062</v>
      </c>
      <c r="G53" s="7">
        <v>5</v>
      </c>
      <c r="H53" s="7" t="s">
        <v>19</v>
      </c>
      <c r="I53" s="8" t="s">
        <v>134</v>
      </c>
      <c r="J53" s="14"/>
      <c r="K53" s="18" t="str">
        <f>LEFT(Table2[[#This Row],[Name]], FIND(" ",Table2[[#This Row],[Name]],2))</f>
        <v xml:space="preserve">Bob </v>
      </c>
      <c r="L53" s="17" t="str">
        <f>RIGHT(Table2[[#This Row],[Employee ID]],4)</f>
        <v>1054</v>
      </c>
      <c r="M53" s="17" t="str">
        <f>MID(Table2[[#This Row],[Salary]],2,3)</f>
        <v>563</v>
      </c>
      <c r="N53" s="17" t="str">
        <f>UPPER(Table2[[#This Row],[Name]])</f>
        <v>BOB JOHNSON</v>
      </c>
      <c r="O53" s="17" t="str">
        <f>LOWER(Table2[[#This Row],[Country]])</f>
        <v>uk</v>
      </c>
      <c r="P53" s="19" t="str">
        <f>PROPER(Table2[[#This Row],[Gender]])</f>
        <v>Other</v>
      </c>
    </row>
    <row r="54" spans="1:16" x14ac:dyDescent="0.25">
      <c r="A54" s="6" t="s">
        <v>135</v>
      </c>
      <c r="B54" s="7" t="s">
        <v>41</v>
      </c>
      <c r="C54" s="7" t="s">
        <v>34</v>
      </c>
      <c r="D54" s="7" t="s">
        <v>27</v>
      </c>
      <c r="E54" s="7">
        <v>74815</v>
      </c>
      <c r="F54" s="16">
        <v>42063</v>
      </c>
      <c r="G54" s="7">
        <v>5</v>
      </c>
      <c r="H54" s="7" t="s">
        <v>36</v>
      </c>
      <c r="I54" s="8" t="s">
        <v>136</v>
      </c>
      <c r="J54" s="14"/>
      <c r="K54" s="18" t="str">
        <f>LEFT(Table2[[#This Row],[Name]], FIND(" ",Table2[[#This Row],[Name]],2))</f>
        <v xml:space="preserve">Chris </v>
      </c>
      <c r="L54" s="17" t="str">
        <f>RIGHT(Table2[[#This Row],[Employee ID]],4)</f>
        <v>1055</v>
      </c>
      <c r="M54" s="17" t="str">
        <f>MID(Table2[[#This Row],[Salary]],2,3)</f>
        <v>481</v>
      </c>
      <c r="N54" s="17" t="str">
        <f>UPPER(Table2[[#This Row],[Name]])</f>
        <v>CHRIS LEE</v>
      </c>
      <c r="O54" s="17" t="str">
        <f>LOWER(Table2[[#This Row],[Country]])</f>
        <v>usa</v>
      </c>
      <c r="P54" s="19" t="str">
        <f>PROPER(Table2[[#This Row],[Gender]])</f>
        <v>Female</v>
      </c>
    </row>
    <row r="55" spans="1:16" x14ac:dyDescent="0.25">
      <c r="A55" s="6" t="s">
        <v>137</v>
      </c>
      <c r="B55" s="7" t="s">
        <v>25</v>
      </c>
      <c r="C55" s="7" t="s">
        <v>26</v>
      </c>
      <c r="D55" s="7" t="s">
        <v>64</v>
      </c>
      <c r="E55" s="7">
        <v>60011</v>
      </c>
      <c r="F55" s="16">
        <v>42064</v>
      </c>
      <c r="G55" s="7">
        <v>1</v>
      </c>
      <c r="H55" s="7" t="s">
        <v>28</v>
      </c>
      <c r="I55" s="8" t="s">
        <v>138</v>
      </c>
      <c r="J55" s="14"/>
      <c r="K55" s="18" t="str">
        <f>LEFT(Table2[[#This Row],[Name]], FIND(" ",Table2[[#This Row],[Name]],2))</f>
        <v xml:space="preserve">John </v>
      </c>
      <c r="L55" s="17" t="str">
        <f>RIGHT(Table2[[#This Row],[Employee ID]],4)</f>
        <v>1056</v>
      </c>
      <c r="M55" s="17" t="str">
        <f>MID(Table2[[#This Row],[Salary]],2,3)</f>
        <v>001</v>
      </c>
      <c r="N55" s="17" t="str">
        <f>UPPER(Table2[[#This Row],[Name]])</f>
        <v>JOHN DOE</v>
      </c>
      <c r="O55" s="17" t="str">
        <f>LOWER(Table2[[#This Row],[Country]])</f>
        <v>australia</v>
      </c>
      <c r="P55" s="19" t="str">
        <f>PROPER(Table2[[#This Row],[Gender]])</f>
        <v>Male</v>
      </c>
    </row>
    <row r="56" spans="1:16" x14ac:dyDescent="0.25">
      <c r="A56" s="6" t="s">
        <v>139</v>
      </c>
      <c r="B56" s="7" t="s">
        <v>16</v>
      </c>
      <c r="C56" s="7" t="s">
        <v>17</v>
      </c>
      <c r="D56" s="7" t="s">
        <v>35</v>
      </c>
      <c r="E56" s="7">
        <v>96949</v>
      </c>
      <c r="F56" s="16">
        <v>42065</v>
      </c>
      <c r="G56" s="7">
        <v>3</v>
      </c>
      <c r="H56" s="7" t="s">
        <v>36</v>
      </c>
      <c r="I56" s="8" t="s">
        <v>85</v>
      </c>
      <c r="J56" s="14"/>
      <c r="K56" s="18" t="str">
        <f>LEFT(Table2[[#This Row],[Name]], FIND(" ",Table2[[#This Row],[Name]],2))</f>
        <v xml:space="preserve">Eve </v>
      </c>
      <c r="L56" s="17" t="str">
        <f>RIGHT(Table2[[#This Row],[Employee ID]],4)</f>
        <v>1057</v>
      </c>
      <c r="M56" s="17" t="str">
        <f>MID(Table2[[#This Row],[Salary]],2,3)</f>
        <v>694</v>
      </c>
      <c r="N56" s="17" t="str">
        <f>UPPER(Table2[[#This Row],[Name]])</f>
        <v>EVE ADAMS</v>
      </c>
      <c r="O56" s="17" t="str">
        <f>LOWER(Table2[[#This Row],[Country]])</f>
        <v>india</v>
      </c>
      <c r="P56" s="19" t="str">
        <f>PROPER(Table2[[#This Row],[Gender]])</f>
        <v>Female</v>
      </c>
    </row>
    <row r="57" spans="1:16" x14ac:dyDescent="0.25">
      <c r="A57" s="6" t="s">
        <v>140</v>
      </c>
      <c r="B57" s="7" t="s">
        <v>39</v>
      </c>
      <c r="C57" s="7" t="s">
        <v>42</v>
      </c>
      <c r="D57" s="7" t="s">
        <v>35</v>
      </c>
      <c r="E57" s="7">
        <v>84924</v>
      </c>
      <c r="F57" s="16">
        <v>42066</v>
      </c>
      <c r="G57" s="7">
        <v>5</v>
      </c>
      <c r="H57" s="7" t="s">
        <v>28</v>
      </c>
      <c r="I57" s="8" t="s">
        <v>141</v>
      </c>
      <c r="J57" s="14"/>
      <c r="K57" s="18" t="str">
        <f>LEFT(Table2[[#This Row],[Name]], FIND(" ",Table2[[#This Row],[Name]],2))</f>
        <v xml:space="preserve">Sam </v>
      </c>
      <c r="L57" s="17" t="str">
        <f>RIGHT(Table2[[#This Row],[Employee ID]],4)</f>
        <v>1058</v>
      </c>
      <c r="M57" s="17" t="str">
        <f>MID(Table2[[#This Row],[Salary]],2,3)</f>
        <v>492</v>
      </c>
      <c r="N57" s="17" t="str">
        <f>UPPER(Table2[[#This Row],[Name]])</f>
        <v>SAM WILSON</v>
      </c>
      <c r="O57" s="17" t="str">
        <f>LOWER(Table2[[#This Row],[Country]])</f>
        <v>india</v>
      </c>
      <c r="P57" s="19" t="str">
        <f>PROPER(Table2[[#This Row],[Gender]])</f>
        <v>Male</v>
      </c>
    </row>
    <row r="58" spans="1:16" x14ac:dyDescent="0.25">
      <c r="A58" s="6" t="s">
        <v>142</v>
      </c>
      <c r="B58" s="7" t="s">
        <v>39</v>
      </c>
      <c r="C58" s="7" t="s">
        <v>10</v>
      </c>
      <c r="D58" s="7" t="s">
        <v>27</v>
      </c>
      <c r="E58" s="7">
        <v>82033</v>
      </c>
      <c r="F58" s="16">
        <v>42067</v>
      </c>
      <c r="G58" s="7">
        <v>1</v>
      </c>
      <c r="H58" s="7" t="s">
        <v>36</v>
      </c>
      <c r="I58" s="8" t="s">
        <v>118</v>
      </c>
      <c r="J58" s="14"/>
      <c r="K58" s="18" t="str">
        <f>LEFT(Table2[[#This Row],[Name]], FIND(" ",Table2[[#This Row],[Name]],2))</f>
        <v xml:space="preserve">Sam </v>
      </c>
      <c r="L58" s="17" t="str">
        <f>RIGHT(Table2[[#This Row],[Employee ID]],4)</f>
        <v>1059</v>
      </c>
      <c r="M58" s="17" t="str">
        <f>MID(Table2[[#This Row],[Salary]],2,3)</f>
        <v>203</v>
      </c>
      <c r="N58" s="17" t="str">
        <f>UPPER(Table2[[#This Row],[Name]])</f>
        <v>SAM WILSON</v>
      </c>
      <c r="O58" s="17" t="str">
        <f>LOWER(Table2[[#This Row],[Country]])</f>
        <v>usa</v>
      </c>
      <c r="P58" s="19" t="str">
        <f>PROPER(Table2[[#This Row],[Gender]])</f>
        <v>Female</v>
      </c>
    </row>
    <row r="59" spans="1:16" x14ac:dyDescent="0.25">
      <c r="A59" s="6" t="s">
        <v>143</v>
      </c>
      <c r="B59" s="7" t="s">
        <v>39</v>
      </c>
      <c r="C59" s="7" t="s">
        <v>42</v>
      </c>
      <c r="D59" s="7" t="s">
        <v>18</v>
      </c>
      <c r="E59" s="7">
        <v>23568</v>
      </c>
      <c r="F59" s="16">
        <v>42068</v>
      </c>
      <c r="G59" s="7">
        <v>5</v>
      </c>
      <c r="H59" s="7" t="s">
        <v>13</v>
      </c>
      <c r="I59" s="8" t="s">
        <v>144</v>
      </c>
      <c r="J59" s="14"/>
      <c r="K59" s="18" t="str">
        <f>LEFT(Table2[[#This Row],[Name]], FIND(" ",Table2[[#This Row],[Name]],2))</f>
        <v xml:space="preserve">Sam </v>
      </c>
      <c r="L59" s="17" t="str">
        <f>RIGHT(Table2[[#This Row],[Employee ID]],4)</f>
        <v>1060</v>
      </c>
      <c r="M59" s="17" t="str">
        <f>MID(Table2[[#This Row],[Salary]],2,3)</f>
        <v>356</v>
      </c>
      <c r="N59" s="17" t="str">
        <f>UPPER(Table2[[#This Row],[Name]])</f>
        <v>SAM WILSON</v>
      </c>
      <c r="O59" s="17" t="str">
        <f>LOWER(Table2[[#This Row],[Country]])</f>
        <v>germany</v>
      </c>
      <c r="P59" s="19" t="str">
        <f>PROPER(Table2[[#This Row],[Gender]])</f>
        <v>Unknown</v>
      </c>
    </row>
    <row r="60" spans="1:16" x14ac:dyDescent="0.25">
      <c r="A60" s="6" t="s">
        <v>145</v>
      </c>
      <c r="B60" s="7" t="s">
        <v>16</v>
      </c>
      <c r="C60" s="7" t="s">
        <v>17</v>
      </c>
      <c r="D60" s="7" t="s">
        <v>64</v>
      </c>
      <c r="E60" s="7">
        <v>31499</v>
      </c>
      <c r="F60" s="16">
        <v>42069</v>
      </c>
      <c r="G60" s="7">
        <v>2</v>
      </c>
      <c r="H60" s="7" t="s">
        <v>28</v>
      </c>
      <c r="I60" s="8" t="s">
        <v>102</v>
      </c>
      <c r="J60" s="14"/>
      <c r="K60" s="18" t="str">
        <f>LEFT(Table2[[#This Row],[Name]], FIND(" ",Table2[[#This Row],[Name]],2))</f>
        <v xml:space="preserve">Eve </v>
      </c>
      <c r="L60" s="17" t="str">
        <f>RIGHT(Table2[[#This Row],[Employee ID]],4)</f>
        <v>1061</v>
      </c>
      <c r="M60" s="17" t="str">
        <f>MID(Table2[[#This Row],[Salary]],2,3)</f>
        <v>149</v>
      </c>
      <c r="N60" s="17" t="str">
        <f>UPPER(Table2[[#This Row],[Name]])</f>
        <v>EVE ADAMS</v>
      </c>
      <c r="O60" s="17" t="str">
        <f>LOWER(Table2[[#This Row],[Country]])</f>
        <v>australia</v>
      </c>
      <c r="P60" s="19" t="str">
        <f>PROPER(Table2[[#This Row],[Gender]])</f>
        <v>Male</v>
      </c>
    </row>
    <row r="61" spans="1:16" x14ac:dyDescent="0.25">
      <c r="A61" s="6" t="s">
        <v>146</v>
      </c>
      <c r="B61" s="7" t="s">
        <v>41</v>
      </c>
      <c r="C61" s="7" t="s">
        <v>34</v>
      </c>
      <c r="D61" s="7" t="s">
        <v>47</v>
      </c>
      <c r="E61" s="7">
        <v>97981</v>
      </c>
      <c r="F61" s="16">
        <v>42070</v>
      </c>
      <c r="G61" s="7">
        <v>5</v>
      </c>
      <c r="H61" s="7" t="s">
        <v>36</v>
      </c>
      <c r="I61" s="8" t="s">
        <v>147</v>
      </c>
      <c r="J61" s="14"/>
      <c r="K61" s="18" t="str">
        <f>LEFT(Table2[[#This Row],[Name]], FIND(" ",Table2[[#This Row],[Name]],2))</f>
        <v xml:space="preserve">Chris </v>
      </c>
      <c r="L61" s="17" t="str">
        <f>RIGHT(Table2[[#This Row],[Employee ID]],4)</f>
        <v>1062</v>
      </c>
      <c r="M61" s="17" t="str">
        <f>MID(Table2[[#This Row],[Salary]],2,3)</f>
        <v>798</v>
      </c>
      <c r="N61" s="17" t="str">
        <f>UPPER(Table2[[#This Row],[Name]])</f>
        <v>CHRIS LEE</v>
      </c>
      <c r="O61" s="17" t="str">
        <f>LOWER(Table2[[#This Row],[Country]])</f>
        <v>uk</v>
      </c>
      <c r="P61" s="19" t="str">
        <f>PROPER(Table2[[#This Row],[Gender]])</f>
        <v>Female</v>
      </c>
    </row>
    <row r="62" spans="1:16" x14ac:dyDescent="0.25">
      <c r="A62" s="6" t="s">
        <v>148</v>
      </c>
      <c r="B62" s="7" t="s">
        <v>16</v>
      </c>
      <c r="C62" s="7" t="s">
        <v>17</v>
      </c>
      <c r="D62" s="7" t="s">
        <v>27</v>
      </c>
      <c r="E62" s="7">
        <v>36541</v>
      </c>
      <c r="F62" s="16">
        <v>42071</v>
      </c>
      <c r="G62" s="7">
        <v>2</v>
      </c>
      <c r="H62" s="7" t="s">
        <v>19</v>
      </c>
      <c r="I62" s="8" t="s">
        <v>149</v>
      </c>
      <c r="J62" s="14"/>
      <c r="K62" s="18" t="str">
        <f>LEFT(Table2[[#This Row],[Name]], FIND(" ",Table2[[#This Row],[Name]],2))</f>
        <v xml:space="preserve">Eve </v>
      </c>
      <c r="L62" s="17" t="str">
        <f>RIGHT(Table2[[#This Row],[Employee ID]],4)</f>
        <v>1063</v>
      </c>
      <c r="M62" s="17" t="str">
        <f>MID(Table2[[#This Row],[Salary]],2,3)</f>
        <v>654</v>
      </c>
      <c r="N62" s="17" t="str">
        <f>UPPER(Table2[[#This Row],[Name]])</f>
        <v>EVE ADAMS</v>
      </c>
      <c r="O62" s="17" t="str">
        <f>LOWER(Table2[[#This Row],[Country]])</f>
        <v>usa</v>
      </c>
      <c r="P62" s="19" t="str">
        <f>PROPER(Table2[[#This Row],[Gender]])</f>
        <v>Other</v>
      </c>
    </row>
    <row r="63" spans="1:16" x14ac:dyDescent="0.25">
      <c r="A63" s="6" t="s">
        <v>150</v>
      </c>
      <c r="B63" s="7" t="s">
        <v>25</v>
      </c>
      <c r="C63" s="7" t="s">
        <v>34</v>
      </c>
      <c r="D63" s="7" t="s">
        <v>35</v>
      </c>
      <c r="E63" s="7">
        <v>84737</v>
      </c>
      <c r="F63" s="16">
        <v>42072</v>
      </c>
      <c r="G63" s="7">
        <v>1</v>
      </c>
      <c r="H63" s="7" t="s">
        <v>28</v>
      </c>
      <c r="I63" s="8" t="s">
        <v>151</v>
      </c>
      <c r="J63" s="14"/>
      <c r="K63" s="18" t="str">
        <f>LEFT(Table2[[#This Row],[Name]], FIND(" ",Table2[[#This Row],[Name]],2))</f>
        <v xml:space="preserve">John </v>
      </c>
      <c r="L63" s="17" t="str">
        <f>RIGHT(Table2[[#This Row],[Employee ID]],4)</f>
        <v>1064</v>
      </c>
      <c r="M63" s="17" t="str">
        <f>MID(Table2[[#This Row],[Salary]],2,3)</f>
        <v>473</v>
      </c>
      <c r="N63" s="17" t="str">
        <f>UPPER(Table2[[#This Row],[Name]])</f>
        <v>JOHN DOE</v>
      </c>
      <c r="O63" s="17" t="str">
        <f>LOWER(Table2[[#This Row],[Country]])</f>
        <v>india</v>
      </c>
      <c r="P63" s="19" t="str">
        <f>PROPER(Table2[[#This Row],[Gender]])</f>
        <v>Male</v>
      </c>
    </row>
    <row r="64" spans="1:16" x14ac:dyDescent="0.25">
      <c r="A64" s="6" t="s">
        <v>152</v>
      </c>
      <c r="B64" s="7" t="s">
        <v>39</v>
      </c>
      <c r="C64" s="7" t="s">
        <v>10</v>
      </c>
      <c r="D64" s="7" t="s">
        <v>35</v>
      </c>
      <c r="E64" s="7">
        <v>33468</v>
      </c>
      <c r="F64" s="16">
        <v>42073</v>
      </c>
      <c r="G64" s="7">
        <v>4</v>
      </c>
      <c r="H64" s="7" t="s">
        <v>28</v>
      </c>
      <c r="I64" s="8" t="s">
        <v>153</v>
      </c>
      <c r="J64" s="14"/>
      <c r="K64" s="18" t="str">
        <f>LEFT(Table2[[#This Row],[Name]], FIND(" ",Table2[[#This Row],[Name]],2))</f>
        <v xml:space="preserve">Sam </v>
      </c>
      <c r="L64" s="17" t="str">
        <f>RIGHT(Table2[[#This Row],[Employee ID]],4)</f>
        <v>1065</v>
      </c>
      <c r="M64" s="17" t="str">
        <f>MID(Table2[[#This Row],[Salary]],2,3)</f>
        <v>346</v>
      </c>
      <c r="N64" s="17" t="str">
        <f>UPPER(Table2[[#This Row],[Name]])</f>
        <v>SAM WILSON</v>
      </c>
      <c r="O64" s="17" t="str">
        <f>LOWER(Table2[[#This Row],[Country]])</f>
        <v>india</v>
      </c>
      <c r="P64" s="19" t="str">
        <f>PROPER(Table2[[#This Row],[Gender]])</f>
        <v>Male</v>
      </c>
    </row>
    <row r="65" spans="1:16" x14ac:dyDescent="0.25">
      <c r="A65" s="6" t="s">
        <v>154</v>
      </c>
      <c r="B65" s="7" t="s">
        <v>39</v>
      </c>
      <c r="C65" s="7" t="s">
        <v>10</v>
      </c>
      <c r="D65" s="7" t="s">
        <v>64</v>
      </c>
      <c r="E65" s="7">
        <v>96365</v>
      </c>
      <c r="F65" s="16">
        <v>42074</v>
      </c>
      <c r="G65" s="7">
        <v>3</v>
      </c>
      <c r="H65" s="7" t="s">
        <v>19</v>
      </c>
      <c r="I65" s="8" t="s">
        <v>155</v>
      </c>
      <c r="J65" s="14"/>
      <c r="K65" s="18" t="str">
        <f>LEFT(Table2[[#This Row],[Name]], FIND(" ",Table2[[#This Row],[Name]],2))</f>
        <v xml:space="preserve">Sam </v>
      </c>
      <c r="L65" s="17" t="str">
        <f>RIGHT(Table2[[#This Row],[Employee ID]],4)</f>
        <v>1066</v>
      </c>
      <c r="M65" s="17" t="str">
        <f>MID(Table2[[#This Row],[Salary]],2,3)</f>
        <v>636</v>
      </c>
      <c r="N65" s="17" t="str">
        <f>UPPER(Table2[[#This Row],[Name]])</f>
        <v>SAM WILSON</v>
      </c>
      <c r="O65" s="17" t="str">
        <f>LOWER(Table2[[#This Row],[Country]])</f>
        <v>australia</v>
      </c>
      <c r="P65" s="19" t="str">
        <f>PROPER(Table2[[#This Row],[Gender]])</f>
        <v>Other</v>
      </c>
    </row>
    <row r="66" spans="1:16" x14ac:dyDescent="0.25">
      <c r="A66" s="6" t="s">
        <v>156</v>
      </c>
      <c r="B66" s="7" t="s">
        <v>22</v>
      </c>
      <c r="C66" s="7" t="s">
        <v>26</v>
      </c>
      <c r="D66" s="7" t="s">
        <v>35</v>
      </c>
      <c r="E66" s="7">
        <v>61942</v>
      </c>
      <c r="F66" s="16">
        <v>42075</v>
      </c>
      <c r="G66" s="7">
        <v>3</v>
      </c>
      <c r="H66" s="7" t="s">
        <v>36</v>
      </c>
      <c r="I66" s="8" t="s">
        <v>157</v>
      </c>
      <c r="J66" s="14"/>
      <c r="K66" s="18" t="str">
        <f>LEFT(Table2[[#This Row],[Name]], FIND(" ",Table2[[#This Row],[Name]],2))</f>
        <v xml:space="preserve">Alice </v>
      </c>
      <c r="L66" s="17" t="str">
        <f>RIGHT(Table2[[#This Row],[Employee ID]],4)</f>
        <v>1067</v>
      </c>
      <c r="M66" s="17" t="str">
        <f>MID(Table2[[#This Row],[Salary]],2,3)</f>
        <v>194</v>
      </c>
      <c r="N66" s="17" t="str">
        <f>UPPER(Table2[[#This Row],[Name]])</f>
        <v>ALICE BROWN</v>
      </c>
      <c r="O66" s="17" t="str">
        <f>LOWER(Table2[[#This Row],[Country]])</f>
        <v>india</v>
      </c>
      <c r="P66" s="19" t="str">
        <f>PROPER(Table2[[#This Row],[Gender]])</f>
        <v>Female</v>
      </c>
    </row>
    <row r="67" spans="1:16" x14ac:dyDescent="0.25">
      <c r="A67" s="6" t="s">
        <v>158</v>
      </c>
      <c r="B67" s="7" t="s">
        <v>39</v>
      </c>
      <c r="C67" s="7" t="s">
        <v>10</v>
      </c>
      <c r="D67" s="7" t="s">
        <v>47</v>
      </c>
      <c r="E67" s="7">
        <v>41467</v>
      </c>
      <c r="F67" s="16">
        <v>42076</v>
      </c>
      <c r="G67" s="7">
        <v>2</v>
      </c>
      <c r="H67" s="7" t="s">
        <v>28</v>
      </c>
      <c r="I67" s="8" t="s">
        <v>73</v>
      </c>
      <c r="J67" s="14"/>
      <c r="K67" s="18" t="str">
        <f>LEFT(Table2[[#This Row],[Name]], FIND(" ",Table2[[#This Row],[Name]],2))</f>
        <v xml:space="preserve">Sam </v>
      </c>
      <c r="L67" s="17" t="str">
        <f>RIGHT(Table2[[#This Row],[Employee ID]],4)</f>
        <v>1068</v>
      </c>
      <c r="M67" s="17" t="str">
        <f>MID(Table2[[#This Row],[Salary]],2,3)</f>
        <v>146</v>
      </c>
      <c r="N67" s="17" t="str">
        <f>UPPER(Table2[[#This Row],[Name]])</f>
        <v>SAM WILSON</v>
      </c>
      <c r="O67" s="17" t="str">
        <f>LOWER(Table2[[#This Row],[Country]])</f>
        <v>uk</v>
      </c>
      <c r="P67" s="19" t="str">
        <f>PROPER(Table2[[#This Row],[Gender]])</f>
        <v>Male</v>
      </c>
    </row>
    <row r="68" spans="1:16" x14ac:dyDescent="0.25">
      <c r="A68" s="6" t="s">
        <v>159</v>
      </c>
      <c r="B68" s="7" t="s">
        <v>54</v>
      </c>
      <c r="C68" s="7" t="s">
        <v>10</v>
      </c>
      <c r="D68" s="7" t="s">
        <v>35</v>
      </c>
      <c r="E68" s="7">
        <v>77096</v>
      </c>
      <c r="F68" s="16">
        <v>42077</v>
      </c>
      <c r="G68" s="7">
        <v>1</v>
      </c>
      <c r="H68" s="7" t="s">
        <v>36</v>
      </c>
      <c r="I68" s="8" t="s">
        <v>160</v>
      </c>
      <c r="J68" s="14"/>
      <c r="K68" s="18" t="str">
        <f>LEFT(Table2[[#This Row],[Name]], FIND(" ",Table2[[#This Row],[Name]],2))</f>
        <v xml:space="preserve">Bob </v>
      </c>
      <c r="L68" s="17" t="str">
        <f>RIGHT(Table2[[#This Row],[Employee ID]],4)</f>
        <v>1069</v>
      </c>
      <c r="M68" s="17" t="str">
        <f>MID(Table2[[#This Row],[Salary]],2,3)</f>
        <v>709</v>
      </c>
      <c r="N68" s="17" t="str">
        <f>UPPER(Table2[[#This Row],[Name]])</f>
        <v>BOB JOHNSON</v>
      </c>
      <c r="O68" s="17" t="str">
        <f>LOWER(Table2[[#This Row],[Country]])</f>
        <v>india</v>
      </c>
      <c r="P68" s="19" t="str">
        <f>PROPER(Table2[[#This Row],[Gender]])</f>
        <v>Female</v>
      </c>
    </row>
    <row r="69" spans="1:16" x14ac:dyDescent="0.25">
      <c r="A69" s="6" t="s">
        <v>161</v>
      </c>
      <c r="B69" s="7" t="s">
        <v>16</v>
      </c>
      <c r="C69" s="7" t="s">
        <v>26</v>
      </c>
      <c r="D69" s="7" t="s">
        <v>64</v>
      </c>
      <c r="E69" s="7">
        <v>69952</v>
      </c>
      <c r="F69" s="16">
        <v>42078</v>
      </c>
      <c r="G69" s="7">
        <v>5</v>
      </c>
      <c r="H69" s="7" t="s">
        <v>36</v>
      </c>
      <c r="I69" s="8" t="s">
        <v>14</v>
      </c>
      <c r="J69" s="14"/>
      <c r="K69" s="18" t="str">
        <f>LEFT(Table2[[#This Row],[Name]], FIND(" ",Table2[[#This Row],[Name]],2))</f>
        <v xml:space="preserve">Eve </v>
      </c>
      <c r="L69" s="17" t="str">
        <f>RIGHT(Table2[[#This Row],[Employee ID]],4)</f>
        <v>1070</v>
      </c>
      <c r="M69" s="17" t="str">
        <f>MID(Table2[[#This Row],[Salary]],2,3)</f>
        <v>995</v>
      </c>
      <c r="N69" s="17" t="str">
        <f>UPPER(Table2[[#This Row],[Name]])</f>
        <v>EVE ADAMS</v>
      </c>
      <c r="O69" s="17" t="str">
        <f>LOWER(Table2[[#This Row],[Country]])</f>
        <v>australia</v>
      </c>
      <c r="P69" s="19" t="str">
        <f>PROPER(Table2[[#This Row],[Gender]])</f>
        <v>Female</v>
      </c>
    </row>
    <row r="70" spans="1:16" x14ac:dyDescent="0.25">
      <c r="A70" s="6" t="s">
        <v>162</v>
      </c>
      <c r="B70" s="7" t="s">
        <v>16</v>
      </c>
      <c r="C70" s="7" t="s">
        <v>42</v>
      </c>
      <c r="D70" s="7" t="s">
        <v>27</v>
      </c>
      <c r="E70" s="7">
        <v>85065</v>
      </c>
      <c r="F70" s="16">
        <v>42079</v>
      </c>
      <c r="G70" s="7">
        <v>3</v>
      </c>
      <c r="H70" s="7" t="s">
        <v>19</v>
      </c>
      <c r="I70" s="8" t="s">
        <v>163</v>
      </c>
      <c r="J70" s="14"/>
      <c r="K70" s="18" t="str">
        <f>LEFT(Table2[[#This Row],[Name]], FIND(" ",Table2[[#This Row],[Name]],2))</f>
        <v xml:space="preserve">Eve </v>
      </c>
      <c r="L70" s="17" t="str">
        <f>RIGHT(Table2[[#This Row],[Employee ID]],4)</f>
        <v>1071</v>
      </c>
      <c r="M70" s="17" t="str">
        <f>MID(Table2[[#This Row],[Salary]],2,3)</f>
        <v>506</v>
      </c>
      <c r="N70" s="17" t="str">
        <f>UPPER(Table2[[#This Row],[Name]])</f>
        <v>EVE ADAMS</v>
      </c>
      <c r="O70" s="17" t="str">
        <f>LOWER(Table2[[#This Row],[Country]])</f>
        <v>usa</v>
      </c>
      <c r="P70" s="19" t="str">
        <f>PROPER(Table2[[#This Row],[Gender]])</f>
        <v>Other</v>
      </c>
    </row>
    <row r="71" spans="1:16" x14ac:dyDescent="0.25">
      <c r="A71" s="6" t="s">
        <v>164</v>
      </c>
      <c r="B71" s="7" t="s">
        <v>54</v>
      </c>
      <c r="C71" s="7" t="s">
        <v>42</v>
      </c>
      <c r="D71" s="7" t="s">
        <v>35</v>
      </c>
      <c r="E71" s="7">
        <v>56512</v>
      </c>
      <c r="F71" s="16">
        <v>42080</v>
      </c>
      <c r="G71" s="7">
        <v>5</v>
      </c>
      <c r="H71" s="7" t="s">
        <v>19</v>
      </c>
      <c r="I71" s="8" t="s">
        <v>48</v>
      </c>
      <c r="J71" s="14"/>
      <c r="K71" s="18" t="str">
        <f>LEFT(Table2[[#This Row],[Name]], FIND(" ",Table2[[#This Row],[Name]],2))</f>
        <v xml:space="preserve">Bob </v>
      </c>
      <c r="L71" s="17" t="str">
        <f>RIGHT(Table2[[#This Row],[Employee ID]],4)</f>
        <v>1072</v>
      </c>
      <c r="M71" s="17" t="str">
        <f>MID(Table2[[#This Row],[Salary]],2,3)</f>
        <v>651</v>
      </c>
      <c r="N71" s="17" t="str">
        <f>UPPER(Table2[[#This Row],[Name]])</f>
        <v>BOB JOHNSON</v>
      </c>
      <c r="O71" s="17" t="str">
        <f>LOWER(Table2[[#This Row],[Country]])</f>
        <v>india</v>
      </c>
      <c r="P71" s="19" t="str">
        <f>PROPER(Table2[[#This Row],[Gender]])</f>
        <v>Other</v>
      </c>
    </row>
    <row r="72" spans="1:16" x14ac:dyDescent="0.25">
      <c r="A72" s="6" t="s">
        <v>165</v>
      </c>
      <c r="B72" s="7" t="s">
        <v>25</v>
      </c>
      <c r="C72" s="7" t="s">
        <v>26</v>
      </c>
      <c r="D72" s="7" t="s">
        <v>35</v>
      </c>
      <c r="E72" s="7">
        <v>91101</v>
      </c>
      <c r="F72" s="16">
        <v>42081</v>
      </c>
      <c r="G72" s="7">
        <v>4</v>
      </c>
      <c r="H72" s="7" t="s">
        <v>36</v>
      </c>
      <c r="I72" s="8" t="s">
        <v>147</v>
      </c>
      <c r="J72" s="14"/>
      <c r="K72" s="18" t="str">
        <f>LEFT(Table2[[#This Row],[Name]], FIND(" ",Table2[[#This Row],[Name]],2))</f>
        <v xml:space="preserve">John </v>
      </c>
      <c r="L72" s="17" t="str">
        <f>RIGHT(Table2[[#This Row],[Employee ID]],4)</f>
        <v>1073</v>
      </c>
      <c r="M72" s="17" t="str">
        <f>MID(Table2[[#This Row],[Salary]],2,3)</f>
        <v>110</v>
      </c>
      <c r="N72" s="17" t="str">
        <f>UPPER(Table2[[#This Row],[Name]])</f>
        <v>JOHN DOE</v>
      </c>
      <c r="O72" s="17" t="str">
        <f>LOWER(Table2[[#This Row],[Country]])</f>
        <v>india</v>
      </c>
      <c r="P72" s="19" t="str">
        <f>PROPER(Table2[[#This Row],[Gender]])</f>
        <v>Female</v>
      </c>
    </row>
    <row r="73" spans="1:16" x14ac:dyDescent="0.25">
      <c r="A73" s="6" t="s">
        <v>166</v>
      </c>
      <c r="B73" s="7" t="s">
        <v>39</v>
      </c>
      <c r="C73" s="7" t="s">
        <v>34</v>
      </c>
      <c r="D73" s="7" t="s">
        <v>18</v>
      </c>
      <c r="E73" s="7">
        <v>41243</v>
      </c>
      <c r="F73" s="16">
        <v>42082</v>
      </c>
      <c r="G73" s="7">
        <v>5</v>
      </c>
      <c r="H73" s="7" t="s">
        <v>19</v>
      </c>
      <c r="I73" s="8" t="s">
        <v>93</v>
      </c>
      <c r="J73" s="14"/>
      <c r="K73" s="18" t="str">
        <f>LEFT(Table2[[#This Row],[Name]], FIND(" ",Table2[[#This Row],[Name]],2))</f>
        <v xml:space="preserve">Sam </v>
      </c>
      <c r="L73" s="17" t="str">
        <f>RIGHT(Table2[[#This Row],[Employee ID]],4)</f>
        <v>1074</v>
      </c>
      <c r="M73" s="17" t="str">
        <f>MID(Table2[[#This Row],[Salary]],2,3)</f>
        <v>124</v>
      </c>
      <c r="N73" s="17" t="str">
        <f>UPPER(Table2[[#This Row],[Name]])</f>
        <v>SAM WILSON</v>
      </c>
      <c r="O73" s="17" t="str">
        <f>LOWER(Table2[[#This Row],[Country]])</f>
        <v>germany</v>
      </c>
      <c r="P73" s="19" t="str">
        <f>PROPER(Table2[[#This Row],[Gender]])</f>
        <v>Other</v>
      </c>
    </row>
    <row r="74" spans="1:16" x14ac:dyDescent="0.25">
      <c r="A74" s="6" t="s">
        <v>167</v>
      </c>
      <c r="B74" s="7" t="s">
        <v>41</v>
      </c>
      <c r="C74" s="7" t="s">
        <v>26</v>
      </c>
      <c r="D74" s="7" t="s">
        <v>27</v>
      </c>
      <c r="E74" s="7">
        <v>96142</v>
      </c>
      <c r="F74" s="16">
        <v>42083</v>
      </c>
      <c r="G74" s="7">
        <v>1</v>
      </c>
      <c r="H74" s="7" t="s">
        <v>19</v>
      </c>
      <c r="I74" s="8" t="s">
        <v>168</v>
      </c>
      <c r="J74" s="14"/>
      <c r="K74" s="18" t="str">
        <f>LEFT(Table2[[#This Row],[Name]], FIND(" ",Table2[[#This Row],[Name]],2))</f>
        <v xml:space="preserve">Chris </v>
      </c>
      <c r="L74" s="17" t="str">
        <f>RIGHT(Table2[[#This Row],[Employee ID]],4)</f>
        <v>1075</v>
      </c>
      <c r="M74" s="17" t="str">
        <f>MID(Table2[[#This Row],[Salary]],2,3)</f>
        <v>614</v>
      </c>
      <c r="N74" s="17" t="str">
        <f>UPPER(Table2[[#This Row],[Name]])</f>
        <v>CHRIS LEE</v>
      </c>
      <c r="O74" s="17" t="str">
        <f>LOWER(Table2[[#This Row],[Country]])</f>
        <v>usa</v>
      </c>
      <c r="P74" s="19" t="str">
        <f>PROPER(Table2[[#This Row],[Gender]])</f>
        <v>Other</v>
      </c>
    </row>
    <row r="75" spans="1:16" x14ac:dyDescent="0.25">
      <c r="A75" s="6" t="s">
        <v>169</v>
      </c>
      <c r="B75" s="7" t="s">
        <v>16</v>
      </c>
      <c r="C75" s="7" t="s">
        <v>34</v>
      </c>
      <c r="D75" s="7" t="s">
        <v>35</v>
      </c>
      <c r="E75" s="7">
        <v>94301</v>
      </c>
      <c r="F75" s="16">
        <v>42084</v>
      </c>
      <c r="G75" s="7">
        <v>1</v>
      </c>
      <c r="H75" s="7" t="s">
        <v>28</v>
      </c>
      <c r="I75" s="8" t="s">
        <v>118</v>
      </c>
      <c r="J75" s="14"/>
      <c r="K75" s="18" t="str">
        <f>LEFT(Table2[[#This Row],[Name]], FIND(" ",Table2[[#This Row],[Name]],2))</f>
        <v xml:space="preserve">Eve </v>
      </c>
      <c r="L75" s="17" t="str">
        <f>RIGHT(Table2[[#This Row],[Employee ID]],4)</f>
        <v>1076</v>
      </c>
      <c r="M75" s="17" t="str">
        <f>MID(Table2[[#This Row],[Salary]],2,3)</f>
        <v>430</v>
      </c>
      <c r="N75" s="17" t="str">
        <f>UPPER(Table2[[#This Row],[Name]])</f>
        <v>EVE ADAMS</v>
      </c>
      <c r="O75" s="17" t="str">
        <f>LOWER(Table2[[#This Row],[Country]])</f>
        <v>india</v>
      </c>
      <c r="P75" s="19" t="str">
        <f>PROPER(Table2[[#This Row],[Gender]])</f>
        <v>Male</v>
      </c>
    </row>
    <row r="76" spans="1:16" x14ac:dyDescent="0.25">
      <c r="A76" s="6" t="s">
        <v>170</v>
      </c>
      <c r="B76" s="7" t="s">
        <v>31</v>
      </c>
      <c r="C76" s="7" t="s">
        <v>10</v>
      </c>
      <c r="D76" s="7" t="s">
        <v>47</v>
      </c>
      <c r="E76" s="7">
        <v>69166</v>
      </c>
      <c r="F76" s="16">
        <v>42085</v>
      </c>
      <c r="G76" s="7">
        <v>1</v>
      </c>
      <c r="H76" s="7" t="s">
        <v>36</v>
      </c>
      <c r="I76" s="8" t="s">
        <v>171</v>
      </c>
      <c r="J76" s="14"/>
      <c r="K76" s="18" t="str">
        <f>LEFT(Table2[[#This Row],[Name]], FIND(" ",Table2[[#This Row],[Name]],2))</f>
        <v xml:space="preserve">Jane </v>
      </c>
      <c r="L76" s="17" t="str">
        <f>RIGHT(Table2[[#This Row],[Employee ID]],4)</f>
        <v>1077</v>
      </c>
      <c r="M76" s="17" t="str">
        <f>MID(Table2[[#This Row],[Salary]],2,3)</f>
        <v>916</v>
      </c>
      <c r="N76" s="17" t="str">
        <f>UPPER(Table2[[#This Row],[Name]])</f>
        <v>JANE SMITH</v>
      </c>
      <c r="O76" s="17" t="str">
        <f>LOWER(Table2[[#This Row],[Country]])</f>
        <v>uk</v>
      </c>
      <c r="P76" s="19" t="str">
        <f>PROPER(Table2[[#This Row],[Gender]])</f>
        <v>Female</v>
      </c>
    </row>
    <row r="77" spans="1:16" x14ac:dyDescent="0.25">
      <c r="A77" s="6" t="s">
        <v>172</v>
      </c>
      <c r="B77" s="7" t="s">
        <v>39</v>
      </c>
      <c r="C77" s="7" t="s">
        <v>42</v>
      </c>
      <c r="D77" s="7" t="s">
        <v>47</v>
      </c>
      <c r="E77" s="7">
        <v>78245</v>
      </c>
      <c r="F77" s="16">
        <v>42086</v>
      </c>
      <c r="G77" s="7">
        <v>2</v>
      </c>
      <c r="H77" s="7" t="s">
        <v>28</v>
      </c>
      <c r="I77" s="8" t="s">
        <v>173</v>
      </c>
      <c r="J77" s="14"/>
      <c r="K77" s="18" t="str">
        <f>LEFT(Table2[[#This Row],[Name]], FIND(" ",Table2[[#This Row],[Name]],2))</f>
        <v xml:space="preserve">Sam </v>
      </c>
      <c r="L77" s="17" t="str">
        <f>RIGHT(Table2[[#This Row],[Employee ID]],4)</f>
        <v>1078</v>
      </c>
      <c r="M77" s="17" t="str">
        <f>MID(Table2[[#This Row],[Salary]],2,3)</f>
        <v>824</v>
      </c>
      <c r="N77" s="17" t="str">
        <f>UPPER(Table2[[#This Row],[Name]])</f>
        <v>SAM WILSON</v>
      </c>
      <c r="O77" s="17" t="str">
        <f>LOWER(Table2[[#This Row],[Country]])</f>
        <v>uk</v>
      </c>
      <c r="P77" s="19" t="str">
        <f>PROPER(Table2[[#This Row],[Gender]])</f>
        <v>Male</v>
      </c>
    </row>
    <row r="78" spans="1:16" x14ac:dyDescent="0.25">
      <c r="A78" s="6" t="s">
        <v>174</v>
      </c>
      <c r="B78" s="7" t="s">
        <v>41</v>
      </c>
      <c r="C78" s="7" t="s">
        <v>26</v>
      </c>
      <c r="D78" s="7" t="s">
        <v>27</v>
      </c>
      <c r="E78" s="7">
        <v>66079</v>
      </c>
      <c r="F78" s="16">
        <v>42087</v>
      </c>
      <c r="G78" s="7">
        <v>2</v>
      </c>
      <c r="H78" s="7" t="s">
        <v>19</v>
      </c>
      <c r="I78" s="8" t="s">
        <v>175</v>
      </c>
      <c r="J78" s="14"/>
      <c r="K78" s="18" t="str">
        <f>LEFT(Table2[[#This Row],[Name]], FIND(" ",Table2[[#This Row],[Name]],2))</f>
        <v xml:space="preserve">Chris </v>
      </c>
      <c r="L78" s="17" t="str">
        <f>RIGHT(Table2[[#This Row],[Employee ID]],4)</f>
        <v>1079</v>
      </c>
      <c r="M78" s="17" t="str">
        <f>MID(Table2[[#This Row],[Salary]],2,3)</f>
        <v>607</v>
      </c>
      <c r="N78" s="17" t="str">
        <f>UPPER(Table2[[#This Row],[Name]])</f>
        <v>CHRIS LEE</v>
      </c>
      <c r="O78" s="17" t="str">
        <f>LOWER(Table2[[#This Row],[Country]])</f>
        <v>usa</v>
      </c>
      <c r="P78" s="19" t="str">
        <f>PROPER(Table2[[#This Row],[Gender]])</f>
        <v>Other</v>
      </c>
    </row>
    <row r="79" spans="1:16" x14ac:dyDescent="0.25">
      <c r="A79" s="6" t="s">
        <v>176</v>
      </c>
      <c r="B79" s="7" t="s">
        <v>16</v>
      </c>
      <c r="C79" s="7" t="s">
        <v>42</v>
      </c>
      <c r="D79" s="7" t="s">
        <v>35</v>
      </c>
      <c r="E79" s="7">
        <v>23568</v>
      </c>
      <c r="F79" s="16">
        <v>42088</v>
      </c>
      <c r="G79" s="7">
        <v>4</v>
      </c>
      <c r="H79" s="7" t="s">
        <v>28</v>
      </c>
      <c r="I79" s="8" t="s">
        <v>87</v>
      </c>
      <c r="J79" s="14"/>
      <c r="K79" s="18" t="str">
        <f>LEFT(Table2[[#This Row],[Name]], FIND(" ",Table2[[#This Row],[Name]],2))</f>
        <v xml:space="preserve">Eve </v>
      </c>
      <c r="L79" s="17" t="str">
        <f>RIGHT(Table2[[#This Row],[Employee ID]],4)</f>
        <v>1080</v>
      </c>
      <c r="M79" s="17" t="str">
        <f>MID(Table2[[#This Row],[Salary]],2,3)</f>
        <v>356</v>
      </c>
      <c r="N79" s="17" t="str">
        <f>UPPER(Table2[[#This Row],[Name]])</f>
        <v>EVE ADAMS</v>
      </c>
      <c r="O79" s="17" t="str">
        <f>LOWER(Table2[[#This Row],[Country]])</f>
        <v>india</v>
      </c>
      <c r="P79" s="19" t="str">
        <f>PROPER(Table2[[#This Row],[Gender]])</f>
        <v>Male</v>
      </c>
    </row>
    <row r="80" spans="1:16" x14ac:dyDescent="0.25">
      <c r="A80" s="6" t="s">
        <v>177</v>
      </c>
      <c r="B80" s="7" t="s">
        <v>31</v>
      </c>
      <c r="C80" s="7" t="s">
        <v>26</v>
      </c>
      <c r="D80" s="7" t="s">
        <v>27</v>
      </c>
      <c r="E80" s="7">
        <v>95621</v>
      </c>
      <c r="F80" s="16">
        <v>42089</v>
      </c>
      <c r="G80" s="7">
        <v>3</v>
      </c>
      <c r="H80" s="7" t="s">
        <v>36</v>
      </c>
      <c r="I80" s="8" t="s">
        <v>178</v>
      </c>
      <c r="J80" s="14"/>
      <c r="K80" s="18" t="str">
        <f>LEFT(Table2[[#This Row],[Name]], FIND(" ",Table2[[#This Row],[Name]],2))</f>
        <v xml:space="preserve">Jane </v>
      </c>
      <c r="L80" s="17" t="str">
        <f>RIGHT(Table2[[#This Row],[Employee ID]],4)</f>
        <v>1081</v>
      </c>
      <c r="M80" s="17" t="str">
        <f>MID(Table2[[#This Row],[Salary]],2,3)</f>
        <v>562</v>
      </c>
      <c r="N80" s="17" t="str">
        <f>UPPER(Table2[[#This Row],[Name]])</f>
        <v>JANE SMITH</v>
      </c>
      <c r="O80" s="17" t="str">
        <f>LOWER(Table2[[#This Row],[Country]])</f>
        <v>usa</v>
      </c>
      <c r="P80" s="19" t="str">
        <f>PROPER(Table2[[#This Row],[Gender]])</f>
        <v>Female</v>
      </c>
    </row>
    <row r="81" spans="1:16" x14ac:dyDescent="0.25">
      <c r="A81" s="6" t="s">
        <v>179</v>
      </c>
      <c r="B81" s="7" t="s">
        <v>16</v>
      </c>
      <c r="C81" s="7" t="s">
        <v>34</v>
      </c>
      <c r="D81" s="7" t="s">
        <v>47</v>
      </c>
      <c r="E81" s="7">
        <v>42262</v>
      </c>
      <c r="F81" s="16">
        <v>42090</v>
      </c>
      <c r="G81" s="7">
        <v>1</v>
      </c>
      <c r="H81" s="7" t="s">
        <v>36</v>
      </c>
      <c r="I81" s="8" t="s">
        <v>180</v>
      </c>
      <c r="J81" s="14"/>
      <c r="K81" s="18" t="str">
        <f>LEFT(Table2[[#This Row],[Name]], FIND(" ",Table2[[#This Row],[Name]],2))</f>
        <v xml:space="preserve">Eve </v>
      </c>
      <c r="L81" s="17" t="str">
        <f>RIGHT(Table2[[#This Row],[Employee ID]],4)</f>
        <v>1082</v>
      </c>
      <c r="M81" s="17" t="str">
        <f>MID(Table2[[#This Row],[Salary]],2,3)</f>
        <v>226</v>
      </c>
      <c r="N81" s="17" t="str">
        <f>UPPER(Table2[[#This Row],[Name]])</f>
        <v>EVE ADAMS</v>
      </c>
      <c r="O81" s="17" t="str">
        <f>LOWER(Table2[[#This Row],[Country]])</f>
        <v>uk</v>
      </c>
      <c r="P81" s="19" t="str">
        <f>PROPER(Table2[[#This Row],[Gender]])</f>
        <v>Female</v>
      </c>
    </row>
    <row r="82" spans="1:16" x14ac:dyDescent="0.25">
      <c r="A82" s="6" t="s">
        <v>181</v>
      </c>
      <c r="B82" s="7" t="s">
        <v>39</v>
      </c>
      <c r="C82" s="7" t="s">
        <v>26</v>
      </c>
      <c r="D82" s="7" t="s">
        <v>35</v>
      </c>
      <c r="E82" s="7">
        <v>99621</v>
      </c>
      <c r="F82" s="16">
        <v>42091</v>
      </c>
      <c r="G82" s="7">
        <v>6</v>
      </c>
      <c r="H82" s="7" t="s">
        <v>19</v>
      </c>
      <c r="I82" s="8" t="s">
        <v>182</v>
      </c>
      <c r="J82" s="14"/>
      <c r="K82" s="18" t="str">
        <f>LEFT(Table2[[#This Row],[Name]], FIND(" ",Table2[[#This Row],[Name]],2))</f>
        <v xml:space="preserve">Sam </v>
      </c>
      <c r="L82" s="17" t="str">
        <f>RIGHT(Table2[[#This Row],[Employee ID]],4)</f>
        <v>1083</v>
      </c>
      <c r="M82" s="17" t="str">
        <f>MID(Table2[[#This Row],[Salary]],2,3)</f>
        <v>962</v>
      </c>
      <c r="N82" s="17" t="str">
        <f>UPPER(Table2[[#This Row],[Name]])</f>
        <v>SAM WILSON</v>
      </c>
      <c r="O82" s="17" t="str">
        <f>LOWER(Table2[[#This Row],[Country]])</f>
        <v>india</v>
      </c>
      <c r="P82" s="19" t="str">
        <f>PROPER(Table2[[#This Row],[Gender]])</f>
        <v>Other</v>
      </c>
    </row>
    <row r="83" spans="1:16" x14ac:dyDescent="0.25">
      <c r="A83" s="6" t="s">
        <v>183</v>
      </c>
      <c r="B83" s="7" t="s">
        <v>25</v>
      </c>
      <c r="C83" s="7" t="s">
        <v>42</v>
      </c>
      <c r="D83" s="7" t="s">
        <v>35</v>
      </c>
      <c r="E83" s="7">
        <v>44682</v>
      </c>
      <c r="F83" s="16">
        <v>42092</v>
      </c>
      <c r="G83" s="7">
        <v>4</v>
      </c>
      <c r="H83" s="7" t="s">
        <v>36</v>
      </c>
      <c r="I83" s="8" t="s">
        <v>112</v>
      </c>
      <c r="J83" s="14"/>
      <c r="K83" s="18" t="str">
        <f>LEFT(Table2[[#This Row],[Name]], FIND(" ",Table2[[#This Row],[Name]],2))</f>
        <v xml:space="preserve">John </v>
      </c>
      <c r="L83" s="17" t="str">
        <f>RIGHT(Table2[[#This Row],[Employee ID]],4)</f>
        <v>1084</v>
      </c>
      <c r="M83" s="17" t="str">
        <f>MID(Table2[[#This Row],[Salary]],2,3)</f>
        <v>468</v>
      </c>
      <c r="N83" s="17" t="str">
        <f>UPPER(Table2[[#This Row],[Name]])</f>
        <v>JOHN DOE</v>
      </c>
      <c r="O83" s="17" t="str">
        <f>LOWER(Table2[[#This Row],[Country]])</f>
        <v>india</v>
      </c>
      <c r="P83" s="19" t="str">
        <f>PROPER(Table2[[#This Row],[Gender]])</f>
        <v>Female</v>
      </c>
    </row>
    <row r="84" spans="1:16" x14ac:dyDescent="0.25">
      <c r="A84" s="6" t="s">
        <v>184</v>
      </c>
      <c r="B84" s="7" t="s">
        <v>41</v>
      </c>
      <c r="C84" s="7" t="s">
        <v>10</v>
      </c>
      <c r="D84" s="7" t="s">
        <v>47</v>
      </c>
      <c r="E84" s="7">
        <v>35163</v>
      </c>
      <c r="F84" s="16">
        <v>42093</v>
      </c>
      <c r="G84" s="7">
        <v>5</v>
      </c>
      <c r="H84" s="7" t="s">
        <v>19</v>
      </c>
      <c r="I84" s="8" t="s">
        <v>185</v>
      </c>
      <c r="J84" s="14"/>
      <c r="K84" s="18" t="str">
        <f>LEFT(Table2[[#This Row],[Name]], FIND(" ",Table2[[#This Row],[Name]],2))</f>
        <v xml:space="preserve">Chris </v>
      </c>
      <c r="L84" s="17" t="str">
        <f>RIGHT(Table2[[#This Row],[Employee ID]],4)</f>
        <v>1085</v>
      </c>
      <c r="M84" s="17" t="str">
        <f>MID(Table2[[#This Row],[Salary]],2,3)</f>
        <v>516</v>
      </c>
      <c r="N84" s="17" t="str">
        <f>UPPER(Table2[[#This Row],[Name]])</f>
        <v>CHRIS LEE</v>
      </c>
      <c r="O84" s="17" t="str">
        <f>LOWER(Table2[[#This Row],[Country]])</f>
        <v>uk</v>
      </c>
      <c r="P84" s="19" t="str">
        <f>PROPER(Table2[[#This Row],[Gender]])</f>
        <v>Other</v>
      </c>
    </row>
    <row r="85" spans="1:16" x14ac:dyDescent="0.25">
      <c r="A85" s="6" t="s">
        <v>186</v>
      </c>
      <c r="B85" s="7" t="s">
        <v>41</v>
      </c>
      <c r="C85" s="7" t="s">
        <v>34</v>
      </c>
      <c r="D85" s="7" t="s">
        <v>35</v>
      </c>
      <c r="E85" s="7">
        <v>33483</v>
      </c>
      <c r="F85" s="16">
        <v>42094</v>
      </c>
      <c r="G85" s="7">
        <v>4</v>
      </c>
      <c r="H85" s="7" t="s">
        <v>28</v>
      </c>
      <c r="I85" s="8" t="s">
        <v>187</v>
      </c>
      <c r="J85" s="14"/>
      <c r="K85" s="18" t="str">
        <f>LEFT(Table2[[#This Row],[Name]], FIND(" ",Table2[[#This Row],[Name]],2))</f>
        <v xml:space="preserve">Chris </v>
      </c>
      <c r="L85" s="17" t="str">
        <f>RIGHT(Table2[[#This Row],[Employee ID]],4)</f>
        <v>1086</v>
      </c>
      <c r="M85" s="17" t="str">
        <f>MID(Table2[[#This Row],[Salary]],2,3)</f>
        <v>348</v>
      </c>
      <c r="N85" s="17" t="str">
        <f>UPPER(Table2[[#This Row],[Name]])</f>
        <v>CHRIS LEE</v>
      </c>
      <c r="O85" s="17" t="str">
        <f>LOWER(Table2[[#This Row],[Country]])</f>
        <v>india</v>
      </c>
      <c r="P85" s="19" t="str">
        <f>PROPER(Table2[[#This Row],[Gender]])</f>
        <v>Male</v>
      </c>
    </row>
    <row r="86" spans="1:16" x14ac:dyDescent="0.25">
      <c r="A86" s="6" t="s">
        <v>188</v>
      </c>
      <c r="B86" s="7" t="s">
        <v>39</v>
      </c>
      <c r="C86" s="7" t="s">
        <v>17</v>
      </c>
      <c r="D86" s="7" t="s">
        <v>18</v>
      </c>
      <c r="E86" s="7">
        <v>55303</v>
      </c>
      <c r="F86" s="16">
        <v>42095</v>
      </c>
      <c r="G86" s="7">
        <v>4</v>
      </c>
      <c r="H86" s="7" t="s">
        <v>28</v>
      </c>
      <c r="I86" s="8" t="s">
        <v>77</v>
      </c>
      <c r="J86" s="14"/>
      <c r="K86" s="18" t="str">
        <f>LEFT(Table2[[#This Row],[Name]], FIND(" ",Table2[[#This Row],[Name]],2))</f>
        <v xml:space="preserve">Sam </v>
      </c>
      <c r="L86" s="17" t="str">
        <f>RIGHT(Table2[[#This Row],[Employee ID]],4)</f>
        <v>1087</v>
      </c>
      <c r="M86" s="17" t="str">
        <f>MID(Table2[[#This Row],[Salary]],2,3)</f>
        <v>530</v>
      </c>
      <c r="N86" s="17" t="str">
        <f>UPPER(Table2[[#This Row],[Name]])</f>
        <v>SAM WILSON</v>
      </c>
      <c r="O86" s="17" t="str">
        <f>LOWER(Table2[[#This Row],[Country]])</f>
        <v>germany</v>
      </c>
      <c r="P86" s="19" t="str">
        <f>PROPER(Table2[[#This Row],[Gender]])</f>
        <v>Male</v>
      </c>
    </row>
    <row r="87" spans="1:16" x14ac:dyDescent="0.25">
      <c r="A87" s="6" t="s">
        <v>189</v>
      </c>
      <c r="B87" s="7" t="s">
        <v>41</v>
      </c>
      <c r="C87" s="7" t="s">
        <v>34</v>
      </c>
      <c r="D87" s="7" t="s">
        <v>35</v>
      </c>
      <c r="E87" s="7">
        <v>63434</v>
      </c>
      <c r="F87" s="16">
        <v>42096</v>
      </c>
      <c r="G87" s="7">
        <v>3</v>
      </c>
      <c r="H87" s="7" t="s">
        <v>19</v>
      </c>
      <c r="I87" s="8" t="s">
        <v>190</v>
      </c>
      <c r="J87" s="14"/>
      <c r="K87" s="18" t="str">
        <f>LEFT(Table2[[#This Row],[Name]], FIND(" ",Table2[[#This Row],[Name]],2))</f>
        <v xml:space="preserve">Chris </v>
      </c>
      <c r="L87" s="17" t="str">
        <f>RIGHT(Table2[[#This Row],[Employee ID]],4)</f>
        <v>1088</v>
      </c>
      <c r="M87" s="17" t="str">
        <f>MID(Table2[[#This Row],[Salary]],2,3)</f>
        <v>343</v>
      </c>
      <c r="N87" s="17" t="str">
        <f>UPPER(Table2[[#This Row],[Name]])</f>
        <v>CHRIS LEE</v>
      </c>
      <c r="O87" s="17" t="str">
        <f>LOWER(Table2[[#This Row],[Country]])</f>
        <v>india</v>
      </c>
      <c r="P87" s="19" t="str">
        <f>PROPER(Table2[[#This Row],[Gender]])</f>
        <v>Other</v>
      </c>
    </row>
    <row r="88" spans="1:16" x14ac:dyDescent="0.25">
      <c r="A88" s="6" t="s">
        <v>191</v>
      </c>
      <c r="B88" s="7" t="s">
        <v>31</v>
      </c>
      <c r="C88" s="7" t="s">
        <v>10</v>
      </c>
      <c r="D88" s="7" t="s">
        <v>64</v>
      </c>
      <c r="E88" s="7">
        <v>38830</v>
      </c>
      <c r="F88" s="16">
        <v>42097</v>
      </c>
      <c r="G88" s="7">
        <v>3</v>
      </c>
      <c r="H88" s="7" t="s">
        <v>19</v>
      </c>
      <c r="I88" s="8" t="s">
        <v>77</v>
      </c>
      <c r="J88" s="14"/>
      <c r="K88" s="18" t="str">
        <f>LEFT(Table2[[#This Row],[Name]], FIND(" ",Table2[[#This Row],[Name]],2))</f>
        <v xml:space="preserve">Jane </v>
      </c>
      <c r="L88" s="17" t="str">
        <f>RIGHT(Table2[[#This Row],[Employee ID]],4)</f>
        <v>1089</v>
      </c>
      <c r="M88" s="17" t="str">
        <f>MID(Table2[[#This Row],[Salary]],2,3)</f>
        <v>883</v>
      </c>
      <c r="N88" s="17" t="str">
        <f>UPPER(Table2[[#This Row],[Name]])</f>
        <v>JANE SMITH</v>
      </c>
      <c r="O88" s="17" t="str">
        <f>LOWER(Table2[[#This Row],[Country]])</f>
        <v>australia</v>
      </c>
      <c r="P88" s="19" t="str">
        <f>PROPER(Table2[[#This Row],[Gender]])</f>
        <v>Other</v>
      </c>
    </row>
    <row r="89" spans="1:16" x14ac:dyDescent="0.25">
      <c r="A89" s="6" t="s">
        <v>192</v>
      </c>
      <c r="B89" s="7" t="s">
        <v>39</v>
      </c>
      <c r="C89" s="7" t="s">
        <v>42</v>
      </c>
      <c r="D89" s="7" t="s">
        <v>47</v>
      </c>
      <c r="E89" s="7">
        <v>50741</v>
      </c>
      <c r="F89" s="16">
        <v>42098</v>
      </c>
      <c r="G89" s="7">
        <v>3</v>
      </c>
      <c r="H89" s="7" t="s">
        <v>13</v>
      </c>
      <c r="I89" s="8" t="s">
        <v>160</v>
      </c>
      <c r="J89" s="14"/>
      <c r="K89" s="18" t="str">
        <f>LEFT(Table2[[#This Row],[Name]], FIND(" ",Table2[[#This Row],[Name]],2))</f>
        <v xml:space="preserve">Sam </v>
      </c>
      <c r="L89" s="17" t="str">
        <f>RIGHT(Table2[[#This Row],[Employee ID]],4)</f>
        <v>1090</v>
      </c>
      <c r="M89" s="17" t="str">
        <f>MID(Table2[[#This Row],[Salary]],2,3)</f>
        <v>074</v>
      </c>
      <c r="N89" s="17" t="str">
        <f>UPPER(Table2[[#This Row],[Name]])</f>
        <v>SAM WILSON</v>
      </c>
      <c r="O89" s="17" t="str">
        <f>LOWER(Table2[[#This Row],[Country]])</f>
        <v>uk</v>
      </c>
      <c r="P89" s="19" t="str">
        <f>PROPER(Table2[[#This Row],[Gender]])</f>
        <v>Unknown</v>
      </c>
    </row>
    <row r="90" spans="1:16" x14ac:dyDescent="0.25">
      <c r="A90" s="6" t="s">
        <v>193</v>
      </c>
      <c r="B90" s="7" t="s">
        <v>22</v>
      </c>
      <c r="C90" s="7" t="s">
        <v>17</v>
      </c>
      <c r="D90" s="7" t="s">
        <v>64</v>
      </c>
      <c r="E90" s="7">
        <v>69420</v>
      </c>
      <c r="F90" s="16">
        <v>42099</v>
      </c>
      <c r="G90" s="7">
        <v>1</v>
      </c>
      <c r="H90" s="7" t="s">
        <v>28</v>
      </c>
      <c r="I90" s="8" t="s">
        <v>123</v>
      </c>
      <c r="J90" s="14"/>
      <c r="K90" s="18" t="str">
        <f>LEFT(Table2[[#This Row],[Name]], FIND(" ",Table2[[#This Row],[Name]],2))</f>
        <v xml:space="preserve">Alice </v>
      </c>
      <c r="L90" s="17" t="str">
        <f>RIGHT(Table2[[#This Row],[Employee ID]],4)</f>
        <v>1091</v>
      </c>
      <c r="M90" s="17" t="str">
        <f>MID(Table2[[#This Row],[Salary]],2,3)</f>
        <v>942</v>
      </c>
      <c r="N90" s="17" t="str">
        <f>UPPER(Table2[[#This Row],[Name]])</f>
        <v>ALICE BROWN</v>
      </c>
      <c r="O90" s="17" t="str">
        <f>LOWER(Table2[[#This Row],[Country]])</f>
        <v>australia</v>
      </c>
      <c r="P90" s="19" t="str">
        <f>PROPER(Table2[[#This Row],[Gender]])</f>
        <v>Male</v>
      </c>
    </row>
    <row r="91" spans="1:16" x14ac:dyDescent="0.25">
      <c r="A91" s="6" t="s">
        <v>194</v>
      </c>
      <c r="B91" s="7" t="s">
        <v>31</v>
      </c>
      <c r="C91" s="7" t="s">
        <v>34</v>
      </c>
      <c r="D91" s="7" t="s">
        <v>18</v>
      </c>
      <c r="E91" s="7">
        <v>80588</v>
      </c>
      <c r="F91" s="16">
        <v>42100</v>
      </c>
      <c r="G91" s="7">
        <v>5</v>
      </c>
      <c r="H91" s="7" t="s">
        <v>28</v>
      </c>
      <c r="I91" s="8" t="s">
        <v>104</v>
      </c>
      <c r="J91" s="14"/>
      <c r="K91" s="18" t="str">
        <f>LEFT(Table2[[#This Row],[Name]], FIND(" ",Table2[[#This Row],[Name]],2))</f>
        <v xml:space="preserve">Jane </v>
      </c>
      <c r="L91" s="17" t="str">
        <f>RIGHT(Table2[[#This Row],[Employee ID]],4)</f>
        <v>1092</v>
      </c>
      <c r="M91" s="17" t="str">
        <f>MID(Table2[[#This Row],[Salary]],2,3)</f>
        <v>058</v>
      </c>
      <c r="N91" s="17" t="str">
        <f>UPPER(Table2[[#This Row],[Name]])</f>
        <v>JANE SMITH</v>
      </c>
      <c r="O91" s="17" t="str">
        <f>LOWER(Table2[[#This Row],[Country]])</f>
        <v>germany</v>
      </c>
      <c r="P91" s="19" t="str">
        <f>PROPER(Table2[[#This Row],[Gender]])</f>
        <v>Male</v>
      </c>
    </row>
    <row r="92" spans="1:16" x14ac:dyDescent="0.25">
      <c r="A92" s="6" t="s">
        <v>195</v>
      </c>
      <c r="B92" s="7" t="s">
        <v>22</v>
      </c>
      <c r="C92" s="7" t="s">
        <v>10</v>
      </c>
      <c r="D92" s="7" t="s">
        <v>27</v>
      </c>
      <c r="E92" s="7">
        <v>76238</v>
      </c>
      <c r="F92" s="16">
        <v>42101</v>
      </c>
      <c r="G92" s="7">
        <v>4</v>
      </c>
      <c r="H92" s="7" t="s">
        <v>28</v>
      </c>
      <c r="I92" s="8" t="s">
        <v>196</v>
      </c>
      <c r="J92" s="14"/>
      <c r="K92" s="18" t="str">
        <f>LEFT(Table2[[#This Row],[Name]], FIND(" ",Table2[[#This Row],[Name]],2))</f>
        <v xml:space="preserve">Alice </v>
      </c>
      <c r="L92" s="17" t="str">
        <f>RIGHT(Table2[[#This Row],[Employee ID]],4)</f>
        <v>1093</v>
      </c>
      <c r="M92" s="17" t="str">
        <f>MID(Table2[[#This Row],[Salary]],2,3)</f>
        <v>623</v>
      </c>
      <c r="N92" s="17" t="str">
        <f>UPPER(Table2[[#This Row],[Name]])</f>
        <v>ALICE BROWN</v>
      </c>
      <c r="O92" s="17" t="str">
        <f>LOWER(Table2[[#This Row],[Country]])</f>
        <v>usa</v>
      </c>
      <c r="P92" s="19" t="str">
        <f>PROPER(Table2[[#This Row],[Gender]])</f>
        <v>Male</v>
      </c>
    </row>
    <row r="93" spans="1:16" x14ac:dyDescent="0.25">
      <c r="A93" s="6" t="s">
        <v>197</v>
      </c>
      <c r="B93" s="7" t="s">
        <v>54</v>
      </c>
      <c r="C93" s="7" t="s">
        <v>34</v>
      </c>
      <c r="D93" s="7" t="s">
        <v>35</v>
      </c>
      <c r="E93" s="7">
        <v>33264</v>
      </c>
      <c r="F93" s="16">
        <v>42102</v>
      </c>
      <c r="G93" s="7">
        <v>5</v>
      </c>
      <c r="H93" s="7" t="s">
        <v>36</v>
      </c>
      <c r="I93" s="8" t="s">
        <v>198</v>
      </c>
      <c r="J93" s="14"/>
      <c r="K93" s="18" t="str">
        <f>LEFT(Table2[[#This Row],[Name]], FIND(" ",Table2[[#This Row],[Name]],2))</f>
        <v xml:space="preserve">Bob </v>
      </c>
      <c r="L93" s="17" t="str">
        <f>RIGHT(Table2[[#This Row],[Employee ID]],4)</f>
        <v>1094</v>
      </c>
      <c r="M93" s="17" t="str">
        <f>MID(Table2[[#This Row],[Salary]],2,3)</f>
        <v>326</v>
      </c>
      <c r="N93" s="17" t="str">
        <f>UPPER(Table2[[#This Row],[Name]])</f>
        <v>BOB JOHNSON</v>
      </c>
      <c r="O93" s="17" t="str">
        <f>LOWER(Table2[[#This Row],[Country]])</f>
        <v>india</v>
      </c>
      <c r="P93" s="19" t="str">
        <f>PROPER(Table2[[#This Row],[Gender]])</f>
        <v>Female</v>
      </c>
    </row>
    <row r="94" spans="1:16" x14ac:dyDescent="0.25">
      <c r="A94" s="6" t="s">
        <v>199</v>
      </c>
      <c r="B94" s="7" t="s">
        <v>22</v>
      </c>
      <c r="C94" s="7" t="s">
        <v>10</v>
      </c>
      <c r="D94" s="7" t="s">
        <v>64</v>
      </c>
      <c r="E94" s="7">
        <v>96101</v>
      </c>
      <c r="F94" s="16">
        <v>42103</v>
      </c>
      <c r="G94" s="7">
        <v>5</v>
      </c>
      <c r="H94" s="7" t="s">
        <v>19</v>
      </c>
      <c r="I94" s="8" t="s">
        <v>200</v>
      </c>
      <c r="J94" s="14"/>
      <c r="K94" s="18" t="str">
        <f>LEFT(Table2[[#This Row],[Name]], FIND(" ",Table2[[#This Row],[Name]],2))</f>
        <v xml:space="preserve">Alice </v>
      </c>
      <c r="L94" s="17" t="str">
        <f>RIGHT(Table2[[#This Row],[Employee ID]],4)</f>
        <v>1095</v>
      </c>
      <c r="M94" s="17" t="str">
        <f>MID(Table2[[#This Row],[Salary]],2,3)</f>
        <v>610</v>
      </c>
      <c r="N94" s="17" t="str">
        <f>UPPER(Table2[[#This Row],[Name]])</f>
        <v>ALICE BROWN</v>
      </c>
      <c r="O94" s="17" t="str">
        <f>LOWER(Table2[[#This Row],[Country]])</f>
        <v>australia</v>
      </c>
      <c r="P94" s="19" t="str">
        <f>PROPER(Table2[[#This Row],[Gender]])</f>
        <v>Other</v>
      </c>
    </row>
    <row r="95" spans="1:16" x14ac:dyDescent="0.25">
      <c r="A95" s="6" t="s">
        <v>201</v>
      </c>
      <c r="B95" s="7" t="s">
        <v>31</v>
      </c>
      <c r="C95" s="7" t="s">
        <v>10</v>
      </c>
      <c r="D95" s="7" t="s">
        <v>27</v>
      </c>
      <c r="E95" s="7">
        <v>72939</v>
      </c>
      <c r="F95" s="16">
        <v>42104</v>
      </c>
      <c r="G95" s="7">
        <v>3</v>
      </c>
      <c r="H95" s="7" t="s">
        <v>36</v>
      </c>
      <c r="I95" s="8" t="s">
        <v>202</v>
      </c>
      <c r="J95" s="14"/>
      <c r="K95" s="18" t="str">
        <f>LEFT(Table2[[#This Row],[Name]], FIND(" ",Table2[[#This Row],[Name]],2))</f>
        <v xml:space="preserve">Jane </v>
      </c>
      <c r="L95" s="17" t="str">
        <f>RIGHT(Table2[[#This Row],[Employee ID]],4)</f>
        <v>1096</v>
      </c>
      <c r="M95" s="17" t="str">
        <f>MID(Table2[[#This Row],[Salary]],2,3)</f>
        <v>293</v>
      </c>
      <c r="N95" s="17" t="str">
        <f>UPPER(Table2[[#This Row],[Name]])</f>
        <v>JANE SMITH</v>
      </c>
      <c r="O95" s="17" t="str">
        <f>LOWER(Table2[[#This Row],[Country]])</f>
        <v>usa</v>
      </c>
      <c r="P95" s="19" t="str">
        <f>PROPER(Table2[[#This Row],[Gender]])</f>
        <v>Female</v>
      </c>
    </row>
    <row r="96" spans="1:16" x14ac:dyDescent="0.25">
      <c r="A96" s="6" t="s">
        <v>203</v>
      </c>
      <c r="B96" s="7" t="s">
        <v>39</v>
      </c>
      <c r="C96" s="7" t="s">
        <v>17</v>
      </c>
      <c r="D96" s="7" t="s">
        <v>18</v>
      </c>
      <c r="E96" s="7">
        <v>89333</v>
      </c>
      <c r="F96" s="16">
        <v>42105</v>
      </c>
      <c r="G96" s="7">
        <v>1</v>
      </c>
      <c r="H96" s="7" t="s">
        <v>28</v>
      </c>
      <c r="I96" s="8" t="s">
        <v>204</v>
      </c>
      <c r="J96" s="14"/>
      <c r="K96" s="18" t="str">
        <f>LEFT(Table2[[#This Row],[Name]], FIND(" ",Table2[[#This Row],[Name]],2))</f>
        <v xml:space="preserve">Sam </v>
      </c>
      <c r="L96" s="17" t="str">
        <f>RIGHT(Table2[[#This Row],[Employee ID]],4)</f>
        <v>1097</v>
      </c>
      <c r="M96" s="17" t="str">
        <f>MID(Table2[[#This Row],[Salary]],2,3)</f>
        <v>933</v>
      </c>
      <c r="N96" s="17" t="str">
        <f>UPPER(Table2[[#This Row],[Name]])</f>
        <v>SAM WILSON</v>
      </c>
      <c r="O96" s="17" t="str">
        <f>LOWER(Table2[[#This Row],[Country]])</f>
        <v>germany</v>
      </c>
      <c r="P96" s="19" t="str">
        <f>PROPER(Table2[[#This Row],[Gender]])</f>
        <v>Male</v>
      </c>
    </row>
    <row r="97" spans="1:16" x14ac:dyDescent="0.25">
      <c r="A97" s="6" t="s">
        <v>205</v>
      </c>
      <c r="B97" s="7" t="s">
        <v>54</v>
      </c>
      <c r="C97" s="7" t="s">
        <v>34</v>
      </c>
      <c r="D97" s="7" t="s">
        <v>64</v>
      </c>
      <c r="E97" s="7">
        <v>70470</v>
      </c>
      <c r="F97" s="16">
        <v>42106</v>
      </c>
      <c r="G97" s="7">
        <v>1</v>
      </c>
      <c r="H97" s="7" t="s">
        <v>28</v>
      </c>
      <c r="I97" s="8" t="s">
        <v>206</v>
      </c>
      <c r="J97" s="14"/>
      <c r="K97" s="18" t="str">
        <f>LEFT(Table2[[#This Row],[Name]], FIND(" ",Table2[[#This Row],[Name]],2))</f>
        <v xml:space="preserve">Bob </v>
      </c>
      <c r="L97" s="17" t="str">
        <f>RIGHT(Table2[[#This Row],[Employee ID]],4)</f>
        <v>1098</v>
      </c>
      <c r="M97" s="17" t="str">
        <f>MID(Table2[[#This Row],[Salary]],2,3)</f>
        <v>047</v>
      </c>
      <c r="N97" s="17" t="str">
        <f>UPPER(Table2[[#This Row],[Name]])</f>
        <v>BOB JOHNSON</v>
      </c>
      <c r="O97" s="17" t="str">
        <f>LOWER(Table2[[#This Row],[Country]])</f>
        <v>australia</v>
      </c>
      <c r="P97" s="19" t="str">
        <f>PROPER(Table2[[#This Row],[Gender]])</f>
        <v>Male</v>
      </c>
    </row>
    <row r="98" spans="1:16" x14ac:dyDescent="0.25">
      <c r="A98" s="6" t="s">
        <v>207</v>
      </c>
      <c r="B98" s="7" t="s">
        <v>16</v>
      </c>
      <c r="C98" s="7" t="s">
        <v>42</v>
      </c>
      <c r="D98" s="7" t="s">
        <v>27</v>
      </c>
      <c r="E98" s="7">
        <v>70096</v>
      </c>
      <c r="F98" s="16">
        <v>42107</v>
      </c>
      <c r="G98" s="7">
        <v>4</v>
      </c>
      <c r="H98" s="7" t="s">
        <v>28</v>
      </c>
      <c r="I98" s="8" t="s">
        <v>208</v>
      </c>
      <c r="J98" s="14"/>
      <c r="K98" s="18" t="str">
        <f>LEFT(Table2[[#This Row],[Name]], FIND(" ",Table2[[#This Row],[Name]],2))</f>
        <v xml:space="preserve">Eve </v>
      </c>
      <c r="L98" s="17" t="str">
        <f>RIGHT(Table2[[#This Row],[Employee ID]],4)</f>
        <v>1099</v>
      </c>
      <c r="M98" s="17" t="str">
        <f>MID(Table2[[#This Row],[Salary]],2,3)</f>
        <v>009</v>
      </c>
      <c r="N98" s="17" t="str">
        <f>UPPER(Table2[[#This Row],[Name]])</f>
        <v>EVE ADAMS</v>
      </c>
      <c r="O98" s="17" t="str">
        <f>LOWER(Table2[[#This Row],[Country]])</f>
        <v>usa</v>
      </c>
      <c r="P98" s="19" t="str">
        <f>PROPER(Table2[[#This Row],[Gender]])</f>
        <v>Male</v>
      </c>
    </row>
    <row r="99" spans="1:16" x14ac:dyDescent="0.25">
      <c r="A99" s="6" t="s">
        <v>209</v>
      </c>
      <c r="B99" s="7" t="s">
        <v>54</v>
      </c>
      <c r="C99" s="7" t="s">
        <v>42</v>
      </c>
      <c r="D99" s="7" t="s">
        <v>64</v>
      </c>
      <c r="E99" s="7">
        <v>12457</v>
      </c>
      <c r="F99" s="16">
        <v>42108</v>
      </c>
      <c r="G99" s="7">
        <v>2</v>
      </c>
      <c r="H99" s="7" t="s">
        <v>19</v>
      </c>
      <c r="I99" s="8" t="s">
        <v>210</v>
      </c>
      <c r="J99" s="14"/>
      <c r="K99" s="18" t="str">
        <f>LEFT(Table2[[#This Row],[Name]], FIND(" ",Table2[[#This Row],[Name]],2))</f>
        <v xml:space="preserve">Bob </v>
      </c>
      <c r="L99" s="17" t="str">
        <f>RIGHT(Table2[[#This Row],[Employee ID]],4)</f>
        <v>1100</v>
      </c>
      <c r="M99" s="17" t="str">
        <f>MID(Table2[[#This Row],[Salary]],2,3)</f>
        <v>245</v>
      </c>
      <c r="N99" s="17" t="str">
        <f>UPPER(Table2[[#This Row],[Name]])</f>
        <v>BOB JOHNSON</v>
      </c>
      <c r="O99" s="17" t="str">
        <f>LOWER(Table2[[#This Row],[Country]])</f>
        <v>australia</v>
      </c>
      <c r="P99" s="19" t="str">
        <f>PROPER(Table2[[#This Row],[Gender]])</f>
        <v>Other</v>
      </c>
    </row>
    <row r="100" spans="1:16" x14ac:dyDescent="0.25">
      <c r="A100" s="6" t="s">
        <v>211</v>
      </c>
      <c r="B100" s="7" t="s">
        <v>54</v>
      </c>
      <c r="C100" s="7" t="s">
        <v>34</v>
      </c>
      <c r="D100" s="7" t="s">
        <v>18</v>
      </c>
      <c r="E100" s="7">
        <v>66503</v>
      </c>
      <c r="F100" s="16">
        <v>42109</v>
      </c>
      <c r="G100" s="7">
        <v>4</v>
      </c>
      <c r="H100" s="7" t="s">
        <v>28</v>
      </c>
      <c r="I100" s="8" t="s">
        <v>71</v>
      </c>
      <c r="J100" s="14"/>
      <c r="K100" s="18" t="str">
        <f>LEFT(Table2[[#This Row],[Name]], FIND(" ",Table2[[#This Row],[Name]],2))</f>
        <v xml:space="preserve">Bob </v>
      </c>
      <c r="L100" s="17" t="str">
        <f>RIGHT(Table2[[#This Row],[Employee ID]],4)</f>
        <v>1101</v>
      </c>
      <c r="M100" s="17" t="str">
        <f>MID(Table2[[#This Row],[Salary]],2,3)</f>
        <v>650</v>
      </c>
      <c r="N100" s="17" t="str">
        <f>UPPER(Table2[[#This Row],[Name]])</f>
        <v>BOB JOHNSON</v>
      </c>
      <c r="O100" s="17" t="str">
        <f>LOWER(Table2[[#This Row],[Country]])</f>
        <v>germany</v>
      </c>
      <c r="P100" s="19" t="str">
        <f>PROPER(Table2[[#This Row],[Gender]])</f>
        <v>Male</v>
      </c>
    </row>
    <row r="101" spans="1:16" x14ac:dyDescent="0.25">
      <c r="A101" s="6" t="s">
        <v>212</v>
      </c>
      <c r="B101" s="7" t="s">
        <v>22</v>
      </c>
      <c r="C101" s="7" t="s">
        <v>17</v>
      </c>
      <c r="D101" s="7" t="s">
        <v>18</v>
      </c>
      <c r="E101" s="7">
        <v>42096</v>
      </c>
      <c r="F101" s="16">
        <v>42110</v>
      </c>
      <c r="G101" s="7">
        <v>1</v>
      </c>
      <c r="H101" s="7" t="s">
        <v>36</v>
      </c>
      <c r="I101" s="8" t="s">
        <v>213</v>
      </c>
      <c r="J101" s="14"/>
      <c r="K101" s="18" t="str">
        <f>LEFT(Table2[[#This Row],[Name]], FIND(" ",Table2[[#This Row],[Name]],2))</f>
        <v xml:space="preserve">Alice </v>
      </c>
      <c r="L101" s="17" t="str">
        <f>RIGHT(Table2[[#This Row],[Employee ID]],4)</f>
        <v>1102</v>
      </c>
      <c r="M101" s="17" t="str">
        <f>MID(Table2[[#This Row],[Salary]],2,3)</f>
        <v>209</v>
      </c>
      <c r="N101" s="17" t="str">
        <f>UPPER(Table2[[#This Row],[Name]])</f>
        <v>ALICE BROWN</v>
      </c>
      <c r="O101" s="17" t="str">
        <f>LOWER(Table2[[#This Row],[Country]])</f>
        <v>germany</v>
      </c>
      <c r="P101" s="19" t="str">
        <f>PROPER(Table2[[#This Row],[Gender]])</f>
        <v>Female</v>
      </c>
    </row>
    <row r="102" spans="1:16" x14ac:dyDescent="0.25">
      <c r="A102" s="6" t="s">
        <v>214</v>
      </c>
      <c r="B102" s="7" t="s">
        <v>22</v>
      </c>
      <c r="C102" s="7" t="s">
        <v>42</v>
      </c>
      <c r="D102" s="7" t="s">
        <v>18</v>
      </c>
      <c r="E102" s="7">
        <v>79145</v>
      </c>
      <c r="F102" s="16">
        <v>42111</v>
      </c>
      <c r="G102" s="7">
        <v>5</v>
      </c>
      <c r="H102" s="7" t="s">
        <v>19</v>
      </c>
      <c r="I102" s="8" t="s">
        <v>118</v>
      </c>
      <c r="J102" s="14"/>
      <c r="K102" s="18" t="str">
        <f>LEFT(Table2[[#This Row],[Name]], FIND(" ",Table2[[#This Row],[Name]],2))</f>
        <v xml:space="preserve">Alice </v>
      </c>
      <c r="L102" s="17" t="str">
        <f>RIGHT(Table2[[#This Row],[Employee ID]],4)</f>
        <v>1103</v>
      </c>
      <c r="M102" s="17" t="str">
        <f>MID(Table2[[#This Row],[Salary]],2,3)</f>
        <v>914</v>
      </c>
      <c r="N102" s="17" t="str">
        <f>UPPER(Table2[[#This Row],[Name]])</f>
        <v>ALICE BROWN</v>
      </c>
      <c r="O102" s="17" t="str">
        <f>LOWER(Table2[[#This Row],[Country]])</f>
        <v>germany</v>
      </c>
      <c r="P102" s="19" t="str">
        <f>PROPER(Table2[[#This Row],[Gender]])</f>
        <v>Other</v>
      </c>
    </row>
    <row r="103" spans="1:16" x14ac:dyDescent="0.25">
      <c r="A103" s="6" t="s">
        <v>215</v>
      </c>
      <c r="B103" s="7" t="s">
        <v>31</v>
      </c>
      <c r="C103" s="7" t="s">
        <v>26</v>
      </c>
      <c r="D103" s="7" t="s">
        <v>64</v>
      </c>
      <c r="E103" s="7">
        <v>61556</v>
      </c>
      <c r="F103" s="16">
        <v>42112</v>
      </c>
      <c r="G103" s="7">
        <v>1</v>
      </c>
      <c r="H103" s="7" t="s">
        <v>28</v>
      </c>
      <c r="I103" s="8" t="s">
        <v>210</v>
      </c>
      <c r="J103" s="14"/>
      <c r="K103" s="18" t="str">
        <f>LEFT(Table2[[#This Row],[Name]], FIND(" ",Table2[[#This Row],[Name]],2))</f>
        <v xml:space="preserve">Jane </v>
      </c>
      <c r="L103" s="17" t="str">
        <f>RIGHT(Table2[[#This Row],[Employee ID]],4)</f>
        <v>1104</v>
      </c>
      <c r="M103" s="17" t="str">
        <f>MID(Table2[[#This Row],[Salary]],2,3)</f>
        <v>155</v>
      </c>
      <c r="N103" s="17" t="str">
        <f>UPPER(Table2[[#This Row],[Name]])</f>
        <v>JANE SMITH</v>
      </c>
      <c r="O103" s="17" t="str">
        <f>LOWER(Table2[[#This Row],[Country]])</f>
        <v>australia</v>
      </c>
      <c r="P103" s="19" t="str">
        <f>PROPER(Table2[[#This Row],[Gender]])</f>
        <v>Male</v>
      </c>
    </row>
    <row r="104" spans="1:16" x14ac:dyDescent="0.25">
      <c r="A104" s="6" t="s">
        <v>216</v>
      </c>
      <c r="B104" s="7" t="s">
        <v>41</v>
      </c>
      <c r="C104" s="7" t="s">
        <v>17</v>
      </c>
      <c r="D104" s="7" t="s">
        <v>47</v>
      </c>
      <c r="E104" s="7">
        <v>87963</v>
      </c>
      <c r="F104" s="16">
        <v>42113</v>
      </c>
      <c r="G104" s="7">
        <v>3</v>
      </c>
      <c r="H104" s="7" t="s">
        <v>19</v>
      </c>
      <c r="I104" s="8" t="s">
        <v>14</v>
      </c>
      <c r="J104" s="14"/>
      <c r="K104" s="18" t="str">
        <f>LEFT(Table2[[#This Row],[Name]], FIND(" ",Table2[[#This Row],[Name]],2))</f>
        <v xml:space="preserve">Chris </v>
      </c>
      <c r="L104" s="17" t="str">
        <f>RIGHT(Table2[[#This Row],[Employee ID]],4)</f>
        <v>1105</v>
      </c>
      <c r="M104" s="17" t="str">
        <f>MID(Table2[[#This Row],[Salary]],2,3)</f>
        <v>796</v>
      </c>
      <c r="N104" s="17" t="str">
        <f>UPPER(Table2[[#This Row],[Name]])</f>
        <v>CHRIS LEE</v>
      </c>
      <c r="O104" s="17" t="str">
        <f>LOWER(Table2[[#This Row],[Country]])</f>
        <v>uk</v>
      </c>
      <c r="P104" s="19" t="str">
        <f>PROPER(Table2[[#This Row],[Gender]])</f>
        <v>Other</v>
      </c>
    </row>
    <row r="105" spans="1:16" x14ac:dyDescent="0.25">
      <c r="A105" s="6" t="s">
        <v>217</v>
      </c>
      <c r="B105" s="7" t="s">
        <v>16</v>
      </c>
      <c r="C105" s="7" t="s">
        <v>34</v>
      </c>
      <c r="D105" s="7" t="s">
        <v>64</v>
      </c>
      <c r="E105" s="7">
        <v>48325</v>
      </c>
      <c r="F105" s="16">
        <v>42114</v>
      </c>
      <c r="G105" s="7">
        <v>6</v>
      </c>
      <c r="H105" s="7" t="s">
        <v>28</v>
      </c>
      <c r="I105" s="8" t="s">
        <v>218</v>
      </c>
      <c r="J105" s="14"/>
      <c r="K105" s="18" t="str">
        <f>LEFT(Table2[[#This Row],[Name]], FIND(" ",Table2[[#This Row],[Name]],2))</f>
        <v xml:space="preserve">Eve </v>
      </c>
      <c r="L105" s="17" t="str">
        <f>RIGHT(Table2[[#This Row],[Employee ID]],4)</f>
        <v>1106</v>
      </c>
      <c r="M105" s="17" t="str">
        <f>MID(Table2[[#This Row],[Salary]],2,3)</f>
        <v>832</v>
      </c>
      <c r="N105" s="17" t="str">
        <f>UPPER(Table2[[#This Row],[Name]])</f>
        <v>EVE ADAMS</v>
      </c>
      <c r="O105" s="17" t="str">
        <f>LOWER(Table2[[#This Row],[Country]])</f>
        <v>australia</v>
      </c>
      <c r="P105" s="19" t="str">
        <f>PROPER(Table2[[#This Row],[Gender]])</f>
        <v>Male</v>
      </c>
    </row>
    <row r="106" spans="1:16" x14ac:dyDescent="0.25">
      <c r="A106" s="6" t="s">
        <v>219</v>
      </c>
      <c r="B106" s="7" t="s">
        <v>39</v>
      </c>
      <c r="C106" s="7" t="s">
        <v>42</v>
      </c>
      <c r="D106" s="7" t="s">
        <v>64</v>
      </c>
      <c r="E106" s="7">
        <v>86412</v>
      </c>
      <c r="F106" s="16">
        <v>42115</v>
      </c>
      <c r="G106" s="7">
        <v>2</v>
      </c>
      <c r="H106" s="7" t="s">
        <v>36</v>
      </c>
      <c r="I106" s="8" t="s">
        <v>75</v>
      </c>
      <c r="J106" s="14"/>
      <c r="K106" s="18" t="str">
        <f>LEFT(Table2[[#This Row],[Name]], FIND(" ",Table2[[#This Row],[Name]],2))</f>
        <v xml:space="preserve">Sam </v>
      </c>
      <c r="L106" s="17" t="str">
        <f>RIGHT(Table2[[#This Row],[Employee ID]],4)</f>
        <v>1107</v>
      </c>
      <c r="M106" s="17" t="str">
        <f>MID(Table2[[#This Row],[Salary]],2,3)</f>
        <v>641</v>
      </c>
      <c r="N106" s="17" t="str">
        <f>UPPER(Table2[[#This Row],[Name]])</f>
        <v>SAM WILSON</v>
      </c>
      <c r="O106" s="17" t="str">
        <f>LOWER(Table2[[#This Row],[Country]])</f>
        <v>australia</v>
      </c>
      <c r="P106" s="19" t="str">
        <f>PROPER(Table2[[#This Row],[Gender]])</f>
        <v>Female</v>
      </c>
    </row>
    <row r="107" spans="1:16" x14ac:dyDescent="0.25">
      <c r="A107" s="6" t="s">
        <v>220</v>
      </c>
      <c r="B107" s="7" t="s">
        <v>39</v>
      </c>
      <c r="C107" s="7" t="s">
        <v>17</v>
      </c>
      <c r="D107" s="7" t="s">
        <v>35</v>
      </c>
      <c r="E107" s="7">
        <v>66761</v>
      </c>
      <c r="F107" s="16">
        <v>42116</v>
      </c>
      <c r="G107" s="7">
        <v>1</v>
      </c>
      <c r="H107" s="7" t="s">
        <v>28</v>
      </c>
      <c r="I107" s="8" t="s">
        <v>221</v>
      </c>
      <c r="J107" s="14"/>
      <c r="K107" s="18" t="str">
        <f>LEFT(Table2[[#This Row],[Name]], FIND(" ",Table2[[#This Row],[Name]],2))</f>
        <v xml:space="preserve">Sam </v>
      </c>
      <c r="L107" s="17" t="str">
        <f>RIGHT(Table2[[#This Row],[Employee ID]],4)</f>
        <v>1108</v>
      </c>
      <c r="M107" s="17" t="str">
        <f>MID(Table2[[#This Row],[Salary]],2,3)</f>
        <v>676</v>
      </c>
      <c r="N107" s="17" t="str">
        <f>UPPER(Table2[[#This Row],[Name]])</f>
        <v>SAM WILSON</v>
      </c>
      <c r="O107" s="17" t="str">
        <f>LOWER(Table2[[#This Row],[Country]])</f>
        <v>india</v>
      </c>
      <c r="P107" s="19" t="str">
        <f>PROPER(Table2[[#This Row],[Gender]])</f>
        <v>Male</v>
      </c>
    </row>
    <row r="108" spans="1:16" x14ac:dyDescent="0.25">
      <c r="A108" s="6" t="s">
        <v>222</v>
      </c>
      <c r="B108" s="7" t="s">
        <v>31</v>
      </c>
      <c r="C108" s="7" t="s">
        <v>10</v>
      </c>
      <c r="D108" s="7" t="s">
        <v>35</v>
      </c>
      <c r="E108" s="7">
        <v>88850</v>
      </c>
      <c r="F108" s="16">
        <v>42117</v>
      </c>
      <c r="G108" s="7">
        <v>1</v>
      </c>
      <c r="H108" s="7" t="s">
        <v>36</v>
      </c>
      <c r="I108" s="8" t="s">
        <v>223</v>
      </c>
      <c r="J108" s="14"/>
      <c r="K108" s="18" t="str">
        <f>LEFT(Table2[[#This Row],[Name]], FIND(" ",Table2[[#This Row],[Name]],2))</f>
        <v xml:space="preserve">Jane </v>
      </c>
      <c r="L108" s="17" t="str">
        <f>RIGHT(Table2[[#This Row],[Employee ID]],4)</f>
        <v>1109</v>
      </c>
      <c r="M108" s="17" t="str">
        <f>MID(Table2[[#This Row],[Salary]],2,3)</f>
        <v>885</v>
      </c>
      <c r="N108" s="17" t="str">
        <f>UPPER(Table2[[#This Row],[Name]])</f>
        <v>JANE SMITH</v>
      </c>
      <c r="O108" s="17" t="str">
        <f>LOWER(Table2[[#This Row],[Country]])</f>
        <v>india</v>
      </c>
      <c r="P108" s="19" t="str">
        <f>PROPER(Table2[[#This Row],[Gender]])</f>
        <v>Female</v>
      </c>
    </row>
    <row r="109" spans="1:16" x14ac:dyDescent="0.25">
      <c r="A109" s="6" t="s">
        <v>224</v>
      </c>
      <c r="B109" s="7" t="s">
        <v>41</v>
      </c>
      <c r="C109" s="7" t="s">
        <v>26</v>
      </c>
      <c r="D109" s="7" t="s">
        <v>35</v>
      </c>
      <c r="E109" s="7">
        <v>31293</v>
      </c>
      <c r="F109" s="16">
        <v>42118</v>
      </c>
      <c r="G109" s="7">
        <v>2</v>
      </c>
      <c r="H109" s="7" t="s">
        <v>36</v>
      </c>
      <c r="I109" s="8" t="s">
        <v>225</v>
      </c>
      <c r="J109" s="14"/>
      <c r="K109" s="18" t="str">
        <f>LEFT(Table2[[#This Row],[Name]], FIND(" ",Table2[[#This Row],[Name]],2))</f>
        <v xml:space="preserve">Chris </v>
      </c>
      <c r="L109" s="17" t="str">
        <f>RIGHT(Table2[[#This Row],[Employee ID]],4)</f>
        <v>1110</v>
      </c>
      <c r="M109" s="17" t="str">
        <f>MID(Table2[[#This Row],[Salary]],2,3)</f>
        <v>129</v>
      </c>
      <c r="N109" s="17" t="str">
        <f>UPPER(Table2[[#This Row],[Name]])</f>
        <v>CHRIS LEE</v>
      </c>
      <c r="O109" s="17" t="str">
        <f>LOWER(Table2[[#This Row],[Country]])</f>
        <v>india</v>
      </c>
      <c r="P109" s="19" t="str">
        <f>PROPER(Table2[[#This Row],[Gender]])</f>
        <v>Female</v>
      </c>
    </row>
    <row r="110" spans="1:16" x14ac:dyDescent="0.25">
      <c r="A110" s="6" t="s">
        <v>226</v>
      </c>
      <c r="B110" s="7" t="s">
        <v>41</v>
      </c>
      <c r="C110" s="7" t="s">
        <v>34</v>
      </c>
      <c r="D110" s="7" t="s">
        <v>27</v>
      </c>
      <c r="E110" s="7">
        <v>34306</v>
      </c>
      <c r="F110" s="16">
        <v>42119</v>
      </c>
      <c r="G110" s="7">
        <v>5</v>
      </c>
      <c r="H110" s="7" t="s">
        <v>36</v>
      </c>
      <c r="I110" s="8" t="s">
        <v>157</v>
      </c>
      <c r="J110" s="14"/>
      <c r="K110" s="18" t="str">
        <f>LEFT(Table2[[#This Row],[Name]], FIND(" ",Table2[[#This Row],[Name]],2))</f>
        <v xml:space="preserve">Chris </v>
      </c>
      <c r="L110" s="17" t="str">
        <f>RIGHT(Table2[[#This Row],[Employee ID]],4)</f>
        <v>1111</v>
      </c>
      <c r="M110" s="17" t="str">
        <f>MID(Table2[[#This Row],[Salary]],2,3)</f>
        <v>430</v>
      </c>
      <c r="N110" s="17" t="str">
        <f>UPPER(Table2[[#This Row],[Name]])</f>
        <v>CHRIS LEE</v>
      </c>
      <c r="O110" s="17" t="str">
        <f>LOWER(Table2[[#This Row],[Country]])</f>
        <v>usa</v>
      </c>
      <c r="P110" s="19" t="str">
        <f>PROPER(Table2[[#This Row],[Gender]])</f>
        <v>Female</v>
      </c>
    </row>
    <row r="111" spans="1:16" x14ac:dyDescent="0.25">
      <c r="A111" s="6" t="s">
        <v>227</v>
      </c>
      <c r="B111" s="7" t="s">
        <v>16</v>
      </c>
      <c r="C111" s="7" t="s">
        <v>10</v>
      </c>
      <c r="D111" s="7" t="s">
        <v>35</v>
      </c>
      <c r="E111" s="7">
        <v>78330</v>
      </c>
      <c r="F111" s="16">
        <v>42120</v>
      </c>
      <c r="G111" s="7">
        <v>5</v>
      </c>
      <c r="H111" s="7" t="s">
        <v>19</v>
      </c>
      <c r="I111" s="8" t="s">
        <v>208</v>
      </c>
      <c r="J111" s="14"/>
      <c r="K111" s="18" t="str">
        <f>LEFT(Table2[[#This Row],[Name]], FIND(" ",Table2[[#This Row],[Name]],2))</f>
        <v xml:space="preserve">Eve </v>
      </c>
      <c r="L111" s="17" t="str">
        <f>RIGHT(Table2[[#This Row],[Employee ID]],4)</f>
        <v>1112</v>
      </c>
      <c r="M111" s="17" t="str">
        <f>MID(Table2[[#This Row],[Salary]],2,3)</f>
        <v>833</v>
      </c>
      <c r="N111" s="17" t="str">
        <f>UPPER(Table2[[#This Row],[Name]])</f>
        <v>EVE ADAMS</v>
      </c>
      <c r="O111" s="17" t="str">
        <f>LOWER(Table2[[#This Row],[Country]])</f>
        <v>india</v>
      </c>
      <c r="P111" s="19" t="str">
        <f>PROPER(Table2[[#This Row],[Gender]])</f>
        <v>Other</v>
      </c>
    </row>
    <row r="112" spans="1:16" x14ac:dyDescent="0.25">
      <c r="A112" s="6" t="s">
        <v>228</v>
      </c>
      <c r="B112" s="7" t="s">
        <v>22</v>
      </c>
      <c r="C112" s="7" t="s">
        <v>34</v>
      </c>
      <c r="D112" s="7" t="s">
        <v>27</v>
      </c>
      <c r="E112" s="7">
        <v>47653</v>
      </c>
      <c r="F112" s="16">
        <v>42121</v>
      </c>
      <c r="G112" s="7">
        <v>1</v>
      </c>
      <c r="H112" s="7" t="s">
        <v>28</v>
      </c>
      <c r="I112" s="8" t="s">
        <v>229</v>
      </c>
      <c r="J112" s="14"/>
      <c r="K112" s="18" t="str">
        <f>LEFT(Table2[[#This Row],[Name]], FIND(" ",Table2[[#This Row],[Name]],2))</f>
        <v xml:space="preserve">Alice </v>
      </c>
      <c r="L112" s="17" t="str">
        <f>RIGHT(Table2[[#This Row],[Employee ID]],4)</f>
        <v>1113</v>
      </c>
      <c r="M112" s="17" t="str">
        <f>MID(Table2[[#This Row],[Salary]],2,3)</f>
        <v>765</v>
      </c>
      <c r="N112" s="17" t="str">
        <f>UPPER(Table2[[#This Row],[Name]])</f>
        <v>ALICE BROWN</v>
      </c>
      <c r="O112" s="17" t="str">
        <f>LOWER(Table2[[#This Row],[Country]])</f>
        <v>usa</v>
      </c>
      <c r="P112" s="19" t="str">
        <f>PROPER(Table2[[#This Row],[Gender]])</f>
        <v>Male</v>
      </c>
    </row>
    <row r="113" spans="1:16" x14ac:dyDescent="0.25">
      <c r="A113" s="6" t="s">
        <v>230</v>
      </c>
      <c r="B113" s="7" t="s">
        <v>16</v>
      </c>
      <c r="C113" s="7" t="s">
        <v>42</v>
      </c>
      <c r="D113" s="7" t="s">
        <v>47</v>
      </c>
      <c r="E113" s="7">
        <v>44627</v>
      </c>
      <c r="F113" s="16">
        <v>42122</v>
      </c>
      <c r="G113" s="7">
        <v>4</v>
      </c>
      <c r="H113" s="7" t="s">
        <v>28</v>
      </c>
      <c r="I113" s="8" t="s">
        <v>149</v>
      </c>
      <c r="J113" s="14"/>
      <c r="K113" s="18" t="str">
        <f>LEFT(Table2[[#This Row],[Name]], FIND(" ",Table2[[#This Row],[Name]],2))</f>
        <v xml:space="preserve">Eve </v>
      </c>
      <c r="L113" s="17" t="str">
        <f>RIGHT(Table2[[#This Row],[Employee ID]],4)</f>
        <v>1114</v>
      </c>
      <c r="M113" s="17" t="str">
        <f>MID(Table2[[#This Row],[Salary]],2,3)</f>
        <v>462</v>
      </c>
      <c r="N113" s="17" t="str">
        <f>UPPER(Table2[[#This Row],[Name]])</f>
        <v>EVE ADAMS</v>
      </c>
      <c r="O113" s="17" t="str">
        <f>LOWER(Table2[[#This Row],[Country]])</f>
        <v>uk</v>
      </c>
      <c r="P113" s="19" t="str">
        <f>PROPER(Table2[[#This Row],[Gender]])</f>
        <v>Male</v>
      </c>
    </row>
    <row r="114" spans="1:16" x14ac:dyDescent="0.25">
      <c r="A114" s="6" t="s">
        <v>231</v>
      </c>
      <c r="B114" s="7" t="s">
        <v>54</v>
      </c>
      <c r="C114" s="7" t="s">
        <v>17</v>
      </c>
      <c r="D114" s="7" t="s">
        <v>18</v>
      </c>
      <c r="E114" s="7">
        <v>92343</v>
      </c>
      <c r="F114" s="16">
        <v>42123</v>
      </c>
      <c r="G114" s="7">
        <v>4</v>
      </c>
      <c r="H114" s="7" t="s">
        <v>36</v>
      </c>
      <c r="I114" s="8" t="s">
        <v>77</v>
      </c>
      <c r="J114" s="14"/>
      <c r="K114" s="18" t="str">
        <f>LEFT(Table2[[#This Row],[Name]], FIND(" ",Table2[[#This Row],[Name]],2))</f>
        <v xml:space="preserve">Bob </v>
      </c>
      <c r="L114" s="17" t="str">
        <f>RIGHT(Table2[[#This Row],[Employee ID]],4)</f>
        <v>1115</v>
      </c>
      <c r="M114" s="17" t="str">
        <f>MID(Table2[[#This Row],[Salary]],2,3)</f>
        <v>234</v>
      </c>
      <c r="N114" s="17" t="str">
        <f>UPPER(Table2[[#This Row],[Name]])</f>
        <v>BOB JOHNSON</v>
      </c>
      <c r="O114" s="17" t="str">
        <f>LOWER(Table2[[#This Row],[Country]])</f>
        <v>germany</v>
      </c>
      <c r="P114" s="19" t="str">
        <f>PROPER(Table2[[#This Row],[Gender]])</f>
        <v>Female</v>
      </c>
    </row>
    <row r="115" spans="1:16" x14ac:dyDescent="0.25">
      <c r="A115" s="6" t="s">
        <v>232</v>
      </c>
      <c r="B115" s="7" t="s">
        <v>54</v>
      </c>
      <c r="C115" s="7" t="s">
        <v>42</v>
      </c>
      <c r="D115" s="7" t="s">
        <v>64</v>
      </c>
      <c r="E115" s="7">
        <v>38837</v>
      </c>
      <c r="F115" s="16">
        <v>42124</v>
      </c>
      <c r="G115" s="7">
        <v>5</v>
      </c>
      <c r="H115" s="7" t="s">
        <v>36</v>
      </c>
      <c r="I115" s="8" t="s">
        <v>157</v>
      </c>
      <c r="J115" s="14"/>
      <c r="K115" s="18" t="str">
        <f>LEFT(Table2[[#This Row],[Name]], FIND(" ",Table2[[#This Row],[Name]],2))</f>
        <v xml:space="preserve">Bob </v>
      </c>
      <c r="L115" s="17" t="str">
        <f>RIGHT(Table2[[#This Row],[Employee ID]],4)</f>
        <v>1116</v>
      </c>
      <c r="M115" s="17" t="str">
        <f>MID(Table2[[#This Row],[Salary]],2,3)</f>
        <v>883</v>
      </c>
      <c r="N115" s="17" t="str">
        <f>UPPER(Table2[[#This Row],[Name]])</f>
        <v>BOB JOHNSON</v>
      </c>
      <c r="O115" s="17" t="str">
        <f>LOWER(Table2[[#This Row],[Country]])</f>
        <v>australia</v>
      </c>
      <c r="P115" s="19" t="str">
        <f>PROPER(Table2[[#This Row],[Gender]])</f>
        <v>Female</v>
      </c>
    </row>
    <row r="116" spans="1:16" x14ac:dyDescent="0.25">
      <c r="A116" s="6" t="s">
        <v>233</v>
      </c>
      <c r="B116" s="7" t="s">
        <v>54</v>
      </c>
      <c r="C116" s="7" t="s">
        <v>42</v>
      </c>
      <c r="D116" s="7" t="s">
        <v>47</v>
      </c>
      <c r="E116" s="7">
        <v>73483</v>
      </c>
      <c r="F116" s="16">
        <v>42125</v>
      </c>
      <c r="G116" s="7">
        <v>1</v>
      </c>
      <c r="H116" s="7" t="s">
        <v>28</v>
      </c>
      <c r="I116" s="8" t="s">
        <v>234</v>
      </c>
      <c r="J116" s="14"/>
      <c r="K116" s="18" t="str">
        <f>LEFT(Table2[[#This Row],[Name]], FIND(" ",Table2[[#This Row],[Name]],2))</f>
        <v xml:space="preserve">Bob </v>
      </c>
      <c r="L116" s="17" t="str">
        <f>RIGHT(Table2[[#This Row],[Employee ID]],4)</f>
        <v>1117</v>
      </c>
      <c r="M116" s="17" t="str">
        <f>MID(Table2[[#This Row],[Salary]],2,3)</f>
        <v>348</v>
      </c>
      <c r="N116" s="17" t="str">
        <f>UPPER(Table2[[#This Row],[Name]])</f>
        <v>BOB JOHNSON</v>
      </c>
      <c r="O116" s="17" t="str">
        <f>LOWER(Table2[[#This Row],[Country]])</f>
        <v>uk</v>
      </c>
      <c r="P116" s="19" t="str">
        <f>PROPER(Table2[[#This Row],[Gender]])</f>
        <v>Male</v>
      </c>
    </row>
    <row r="117" spans="1:16" x14ac:dyDescent="0.25">
      <c r="A117" s="6" t="s">
        <v>235</v>
      </c>
      <c r="B117" s="7" t="s">
        <v>41</v>
      </c>
      <c r="C117" s="7" t="s">
        <v>26</v>
      </c>
      <c r="D117" s="7" t="s">
        <v>35</v>
      </c>
      <c r="E117" s="7">
        <v>95032</v>
      </c>
      <c r="F117" s="16">
        <v>42126</v>
      </c>
      <c r="G117" s="7">
        <v>2</v>
      </c>
      <c r="H117" s="7" t="s">
        <v>36</v>
      </c>
      <c r="I117" s="8" t="s">
        <v>236</v>
      </c>
      <c r="J117" s="14"/>
      <c r="K117" s="18" t="str">
        <f>LEFT(Table2[[#This Row],[Name]], FIND(" ",Table2[[#This Row],[Name]],2))</f>
        <v xml:space="preserve">Chris </v>
      </c>
      <c r="L117" s="17" t="str">
        <f>RIGHT(Table2[[#This Row],[Employee ID]],4)</f>
        <v>1118</v>
      </c>
      <c r="M117" s="17" t="str">
        <f>MID(Table2[[#This Row],[Salary]],2,3)</f>
        <v>503</v>
      </c>
      <c r="N117" s="17" t="str">
        <f>UPPER(Table2[[#This Row],[Name]])</f>
        <v>CHRIS LEE</v>
      </c>
      <c r="O117" s="17" t="str">
        <f>LOWER(Table2[[#This Row],[Country]])</f>
        <v>india</v>
      </c>
      <c r="P117" s="19" t="str">
        <f>PROPER(Table2[[#This Row],[Gender]])</f>
        <v>Female</v>
      </c>
    </row>
    <row r="118" spans="1:16" x14ac:dyDescent="0.25">
      <c r="A118" s="6" t="s">
        <v>237</v>
      </c>
      <c r="B118" s="7" t="s">
        <v>16</v>
      </c>
      <c r="C118" s="7" t="s">
        <v>26</v>
      </c>
      <c r="D118" s="7" t="s">
        <v>64</v>
      </c>
      <c r="E118" s="7">
        <v>44358</v>
      </c>
      <c r="F118" s="16">
        <v>42127</v>
      </c>
      <c r="G118" s="7">
        <v>2</v>
      </c>
      <c r="H118" s="7" t="s">
        <v>36</v>
      </c>
      <c r="I118" s="8" t="s">
        <v>71</v>
      </c>
      <c r="J118" s="14"/>
      <c r="K118" s="18" t="str">
        <f>LEFT(Table2[[#This Row],[Name]], FIND(" ",Table2[[#This Row],[Name]],2))</f>
        <v xml:space="preserve">Eve </v>
      </c>
      <c r="L118" s="17" t="str">
        <f>RIGHT(Table2[[#This Row],[Employee ID]],4)</f>
        <v>1119</v>
      </c>
      <c r="M118" s="17" t="str">
        <f>MID(Table2[[#This Row],[Salary]],2,3)</f>
        <v>435</v>
      </c>
      <c r="N118" s="17" t="str">
        <f>UPPER(Table2[[#This Row],[Name]])</f>
        <v>EVE ADAMS</v>
      </c>
      <c r="O118" s="17" t="str">
        <f>LOWER(Table2[[#This Row],[Country]])</f>
        <v>australia</v>
      </c>
      <c r="P118" s="19" t="str">
        <f>PROPER(Table2[[#This Row],[Gender]])</f>
        <v>Female</v>
      </c>
    </row>
    <row r="119" spans="1:16" x14ac:dyDescent="0.25">
      <c r="A119" s="6" t="s">
        <v>238</v>
      </c>
      <c r="B119" s="7" t="s">
        <v>54</v>
      </c>
      <c r="C119" s="7" t="s">
        <v>34</v>
      </c>
      <c r="D119" s="7" t="s">
        <v>27</v>
      </c>
      <c r="E119" s="7">
        <v>78451</v>
      </c>
      <c r="F119" s="16">
        <v>42128</v>
      </c>
      <c r="G119" s="7">
        <v>5</v>
      </c>
      <c r="H119" s="7" t="s">
        <v>13</v>
      </c>
      <c r="I119" s="8" t="s">
        <v>239</v>
      </c>
      <c r="J119" s="14"/>
      <c r="K119" s="18" t="str">
        <f>LEFT(Table2[[#This Row],[Name]], FIND(" ",Table2[[#This Row],[Name]],2))</f>
        <v xml:space="preserve">Bob </v>
      </c>
      <c r="L119" s="17" t="str">
        <f>RIGHT(Table2[[#This Row],[Employee ID]],4)</f>
        <v>1120</v>
      </c>
      <c r="M119" s="17" t="str">
        <f>MID(Table2[[#This Row],[Salary]],2,3)</f>
        <v>845</v>
      </c>
      <c r="N119" s="17" t="str">
        <f>UPPER(Table2[[#This Row],[Name]])</f>
        <v>BOB JOHNSON</v>
      </c>
      <c r="O119" s="17" t="str">
        <f>LOWER(Table2[[#This Row],[Country]])</f>
        <v>usa</v>
      </c>
      <c r="P119" s="19" t="str">
        <f>PROPER(Table2[[#This Row],[Gender]])</f>
        <v>Unknown</v>
      </c>
    </row>
    <row r="120" spans="1:16" x14ac:dyDescent="0.25">
      <c r="A120" s="6" t="s">
        <v>240</v>
      </c>
      <c r="B120" s="7" t="s">
        <v>41</v>
      </c>
      <c r="C120" s="7" t="s">
        <v>26</v>
      </c>
      <c r="D120" s="7" t="s">
        <v>27</v>
      </c>
      <c r="E120" s="7">
        <v>45676</v>
      </c>
      <c r="F120" s="16">
        <v>42129</v>
      </c>
      <c r="G120" s="7">
        <v>2</v>
      </c>
      <c r="H120" s="7" t="s">
        <v>36</v>
      </c>
      <c r="I120" s="8" t="s">
        <v>241</v>
      </c>
      <c r="J120" s="14"/>
      <c r="K120" s="18" t="str">
        <f>LEFT(Table2[[#This Row],[Name]], FIND(" ",Table2[[#This Row],[Name]],2))</f>
        <v xml:space="preserve">Chris </v>
      </c>
      <c r="L120" s="17" t="str">
        <f>RIGHT(Table2[[#This Row],[Employee ID]],4)</f>
        <v>1121</v>
      </c>
      <c r="M120" s="17" t="str">
        <f>MID(Table2[[#This Row],[Salary]],2,3)</f>
        <v>567</v>
      </c>
      <c r="N120" s="17" t="str">
        <f>UPPER(Table2[[#This Row],[Name]])</f>
        <v>CHRIS LEE</v>
      </c>
      <c r="O120" s="17" t="str">
        <f>LOWER(Table2[[#This Row],[Country]])</f>
        <v>usa</v>
      </c>
      <c r="P120" s="19" t="str">
        <f>PROPER(Table2[[#This Row],[Gender]])</f>
        <v>Female</v>
      </c>
    </row>
    <row r="121" spans="1:16" x14ac:dyDescent="0.25">
      <c r="A121" s="6" t="s">
        <v>242</v>
      </c>
      <c r="B121" s="7" t="s">
        <v>54</v>
      </c>
      <c r="C121" s="7" t="s">
        <v>26</v>
      </c>
      <c r="D121" s="7" t="s">
        <v>18</v>
      </c>
      <c r="E121" s="7">
        <v>52036</v>
      </c>
      <c r="F121" s="16">
        <v>42130</v>
      </c>
      <c r="G121" s="7">
        <v>3</v>
      </c>
      <c r="H121" s="7" t="s">
        <v>28</v>
      </c>
      <c r="I121" s="8" t="s">
        <v>243</v>
      </c>
      <c r="J121" s="14"/>
      <c r="K121" s="18" t="str">
        <f>LEFT(Table2[[#This Row],[Name]], FIND(" ",Table2[[#This Row],[Name]],2))</f>
        <v xml:space="preserve">Bob </v>
      </c>
      <c r="L121" s="17" t="str">
        <f>RIGHT(Table2[[#This Row],[Employee ID]],4)</f>
        <v>1122</v>
      </c>
      <c r="M121" s="17" t="str">
        <f>MID(Table2[[#This Row],[Salary]],2,3)</f>
        <v>203</v>
      </c>
      <c r="N121" s="17" t="str">
        <f>UPPER(Table2[[#This Row],[Name]])</f>
        <v>BOB JOHNSON</v>
      </c>
      <c r="O121" s="17" t="str">
        <f>LOWER(Table2[[#This Row],[Country]])</f>
        <v>germany</v>
      </c>
      <c r="P121" s="19" t="str">
        <f>PROPER(Table2[[#This Row],[Gender]])</f>
        <v>Male</v>
      </c>
    </row>
    <row r="122" spans="1:16" x14ac:dyDescent="0.25">
      <c r="A122" s="6" t="s">
        <v>244</v>
      </c>
      <c r="B122" s="7" t="s">
        <v>31</v>
      </c>
      <c r="C122" s="7" t="s">
        <v>42</v>
      </c>
      <c r="D122" s="7" t="s">
        <v>18</v>
      </c>
      <c r="E122" s="7">
        <v>30357</v>
      </c>
      <c r="F122" s="16">
        <v>42131</v>
      </c>
      <c r="G122" s="7">
        <v>5</v>
      </c>
      <c r="H122" s="7" t="s">
        <v>28</v>
      </c>
      <c r="I122" s="8" t="s">
        <v>182</v>
      </c>
      <c r="J122" s="14"/>
      <c r="K122" s="18" t="str">
        <f>LEFT(Table2[[#This Row],[Name]], FIND(" ",Table2[[#This Row],[Name]],2))</f>
        <v xml:space="preserve">Jane </v>
      </c>
      <c r="L122" s="17" t="str">
        <f>RIGHT(Table2[[#This Row],[Employee ID]],4)</f>
        <v>1123</v>
      </c>
      <c r="M122" s="17" t="str">
        <f>MID(Table2[[#This Row],[Salary]],2,3)</f>
        <v>035</v>
      </c>
      <c r="N122" s="17" t="str">
        <f>UPPER(Table2[[#This Row],[Name]])</f>
        <v>JANE SMITH</v>
      </c>
      <c r="O122" s="17" t="str">
        <f>LOWER(Table2[[#This Row],[Country]])</f>
        <v>germany</v>
      </c>
      <c r="P122" s="19" t="str">
        <f>PROPER(Table2[[#This Row],[Gender]])</f>
        <v>Male</v>
      </c>
    </row>
    <row r="123" spans="1:16" x14ac:dyDescent="0.25">
      <c r="A123" s="6" t="s">
        <v>245</v>
      </c>
      <c r="B123" s="7" t="s">
        <v>25</v>
      </c>
      <c r="C123" s="7" t="s">
        <v>34</v>
      </c>
      <c r="D123" s="7" t="s">
        <v>27</v>
      </c>
      <c r="E123" s="7">
        <v>60034</v>
      </c>
      <c r="F123" s="16">
        <v>42132</v>
      </c>
      <c r="G123" s="7">
        <v>1</v>
      </c>
      <c r="H123" s="7" t="s">
        <v>36</v>
      </c>
      <c r="I123" s="8" t="s">
        <v>246</v>
      </c>
      <c r="J123" s="14"/>
      <c r="K123" s="18" t="str">
        <f>LEFT(Table2[[#This Row],[Name]], FIND(" ",Table2[[#This Row],[Name]],2))</f>
        <v xml:space="preserve">John </v>
      </c>
      <c r="L123" s="17" t="str">
        <f>RIGHT(Table2[[#This Row],[Employee ID]],4)</f>
        <v>1124</v>
      </c>
      <c r="M123" s="17" t="str">
        <f>MID(Table2[[#This Row],[Salary]],2,3)</f>
        <v>003</v>
      </c>
      <c r="N123" s="17" t="str">
        <f>UPPER(Table2[[#This Row],[Name]])</f>
        <v>JOHN DOE</v>
      </c>
      <c r="O123" s="17" t="str">
        <f>LOWER(Table2[[#This Row],[Country]])</f>
        <v>usa</v>
      </c>
      <c r="P123" s="19" t="str">
        <f>PROPER(Table2[[#This Row],[Gender]])</f>
        <v>Female</v>
      </c>
    </row>
    <row r="124" spans="1:16" x14ac:dyDescent="0.25">
      <c r="A124" s="6" t="s">
        <v>247</v>
      </c>
      <c r="B124" s="7" t="s">
        <v>25</v>
      </c>
      <c r="C124" s="7" t="s">
        <v>10</v>
      </c>
      <c r="D124" s="7" t="s">
        <v>47</v>
      </c>
      <c r="E124" s="7">
        <v>90019</v>
      </c>
      <c r="F124" s="16">
        <v>42133</v>
      </c>
      <c r="G124" s="7">
        <v>5</v>
      </c>
      <c r="H124" s="7" t="s">
        <v>28</v>
      </c>
      <c r="I124" s="8" t="s">
        <v>248</v>
      </c>
      <c r="J124" s="14"/>
      <c r="K124" s="18" t="str">
        <f>LEFT(Table2[[#This Row],[Name]], FIND(" ",Table2[[#This Row],[Name]],2))</f>
        <v xml:space="preserve">John </v>
      </c>
      <c r="L124" s="17" t="str">
        <f>RIGHT(Table2[[#This Row],[Employee ID]],4)</f>
        <v>1125</v>
      </c>
      <c r="M124" s="17" t="str">
        <f>MID(Table2[[#This Row],[Salary]],2,3)</f>
        <v>001</v>
      </c>
      <c r="N124" s="17" t="str">
        <f>UPPER(Table2[[#This Row],[Name]])</f>
        <v>JOHN DOE</v>
      </c>
      <c r="O124" s="17" t="str">
        <f>LOWER(Table2[[#This Row],[Country]])</f>
        <v>uk</v>
      </c>
      <c r="P124" s="19" t="str">
        <f>PROPER(Table2[[#This Row],[Gender]])</f>
        <v>Male</v>
      </c>
    </row>
    <row r="125" spans="1:16" x14ac:dyDescent="0.25">
      <c r="A125" s="6" t="s">
        <v>249</v>
      </c>
      <c r="B125" s="7" t="s">
        <v>54</v>
      </c>
      <c r="C125" s="7" t="s">
        <v>26</v>
      </c>
      <c r="D125" s="7" t="s">
        <v>18</v>
      </c>
      <c r="E125" s="7">
        <v>71494</v>
      </c>
      <c r="F125" s="16">
        <v>42134</v>
      </c>
      <c r="G125" s="7">
        <v>3</v>
      </c>
      <c r="H125" s="7" t="s">
        <v>28</v>
      </c>
      <c r="I125" s="8" t="s">
        <v>250</v>
      </c>
      <c r="J125" s="14"/>
      <c r="K125" s="18" t="str">
        <f>LEFT(Table2[[#This Row],[Name]], FIND(" ",Table2[[#This Row],[Name]],2))</f>
        <v xml:space="preserve">Bob </v>
      </c>
      <c r="L125" s="17" t="str">
        <f>RIGHT(Table2[[#This Row],[Employee ID]],4)</f>
        <v>1126</v>
      </c>
      <c r="M125" s="17" t="str">
        <f>MID(Table2[[#This Row],[Salary]],2,3)</f>
        <v>149</v>
      </c>
      <c r="N125" s="17" t="str">
        <f>UPPER(Table2[[#This Row],[Name]])</f>
        <v>BOB JOHNSON</v>
      </c>
      <c r="O125" s="17" t="str">
        <f>LOWER(Table2[[#This Row],[Country]])</f>
        <v>germany</v>
      </c>
      <c r="P125" s="19" t="str">
        <f>PROPER(Table2[[#This Row],[Gender]])</f>
        <v>Male</v>
      </c>
    </row>
    <row r="126" spans="1:16" x14ac:dyDescent="0.25">
      <c r="A126" s="6" t="s">
        <v>251</v>
      </c>
      <c r="B126" s="7" t="s">
        <v>25</v>
      </c>
      <c r="C126" s="7" t="s">
        <v>10</v>
      </c>
      <c r="D126" s="7" t="s">
        <v>27</v>
      </c>
      <c r="E126" s="7">
        <v>91953</v>
      </c>
      <c r="F126" s="16">
        <v>42135</v>
      </c>
      <c r="G126" s="7">
        <v>2</v>
      </c>
      <c r="H126" s="7" t="s">
        <v>28</v>
      </c>
      <c r="I126" s="8" t="s">
        <v>89</v>
      </c>
      <c r="J126" s="14"/>
      <c r="K126" s="18" t="str">
        <f>LEFT(Table2[[#This Row],[Name]], FIND(" ",Table2[[#This Row],[Name]],2))</f>
        <v xml:space="preserve">John </v>
      </c>
      <c r="L126" s="17" t="str">
        <f>RIGHT(Table2[[#This Row],[Employee ID]],4)</f>
        <v>1127</v>
      </c>
      <c r="M126" s="17" t="str">
        <f>MID(Table2[[#This Row],[Salary]],2,3)</f>
        <v>195</v>
      </c>
      <c r="N126" s="17" t="str">
        <f>UPPER(Table2[[#This Row],[Name]])</f>
        <v>JOHN DOE</v>
      </c>
      <c r="O126" s="17" t="str">
        <f>LOWER(Table2[[#This Row],[Country]])</f>
        <v>usa</v>
      </c>
      <c r="P126" s="19" t="str">
        <f>PROPER(Table2[[#This Row],[Gender]])</f>
        <v>Male</v>
      </c>
    </row>
    <row r="127" spans="1:16" x14ac:dyDescent="0.25">
      <c r="A127" s="6" t="s">
        <v>252</v>
      </c>
      <c r="B127" s="7" t="s">
        <v>41</v>
      </c>
      <c r="C127" s="7" t="s">
        <v>26</v>
      </c>
      <c r="D127" s="7" t="s">
        <v>27</v>
      </c>
      <c r="E127" s="7">
        <v>30402</v>
      </c>
      <c r="F127" s="16">
        <v>42136</v>
      </c>
      <c r="G127" s="7">
        <v>1</v>
      </c>
      <c r="H127" s="7" t="s">
        <v>28</v>
      </c>
      <c r="I127" s="8" t="s">
        <v>253</v>
      </c>
      <c r="J127" s="14"/>
      <c r="K127" s="18" t="str">
        <f>LEFT(Table2[[#This Row],[Name]], FIND(" ",Table2[[#This Row],[Name]],2))</f>
        <v xml:space="preserve">Chris </v>
      </c>
      <c r="L127" s="17" t="str">
        <f>RIGHT(Table2[[#This Row],[Employee ID]],4)</f>
        <v>1128</v>
      </c>
      <c r="M127" s="17" t="str">
        <f>MID(Table2[[#This Row],[Salary]],2,3)</f>
        <v>040</v>
      </c>
      <c r="N127" s="17" t="str">
        <f>UPPER(Table2[[#This Row],[Name]])</f>
        <v>CHRIS LEE</v>
      </c>
      <c r="O127" s="17" t="str">
        <f>LOWER(Table2[[#This Row],[Country]])</f>
        <v>usa</v>
      </c>
      <c r="P127" s="19" t="str">
        <f>PROPER(Table2[[#This Row],[Gender]])</f>
        <v>Male</v>
      </c>
    </row>
    <row r="128" spans="1:16" x14ac:dyDescent="0.25">
      <c r="A128" s="6" t="s">
        <v>254</v>
      </c>
      <c r="B128" s="7" t="s">
        <v>54</v>
      </c>
      <c r="C128" s="7" t="s">
        <v>10</v>
      </c>
      <c r="D128" s="7" t="s">
        <v>47</v>
      </c>
      <c r="E128" s="7">
        <v>62994</v>
      </c>
      <c r="F128" s="16">
        <v>42137</v>
      </c>
      <c r="G128" s="7">
        <v>5</v>
      </c>
      <c r="H128" s="7" t="s">
        <v>36</v>
      </c>
      <c r="I128" s="8" t="s">
        <v>114</v>
      </c>
      <c r="J128" s="14"/>
      <c r="K128" s="18" t="str">
        <f>LEFT(Table2[[#This Row],[Name]], FIND(" ",Table2[[#This Row],[Name]],2))</f>
        <v xml:space="preserve">Bob </v>
      </c>
      <c r="L128" s="17" t="str">
        <f>RIGHT(Table2[[#This Row],[Employee ID]],4)</f>
        <v>1129</v>
      </c>
      <c r="M128" s="17" t="str">
        <f>MID(Table2[[#This Row],[Salary]],2,3)</f>
        <v>299</v>
      </c>
      <c r="N128" s="17" t="str">
        <f>UPPER(Table2[[#This Row],[Name]])</f>
        <v>BOB JOHNSON</v>
      </c>
      <c r="O128" s="17" t="str">
        <f>LOWER(Table2[[#This Row],[Country]])</f>
        <v>uk</v>
      </c>
      <c r="P128" s="19" t="str">
        <f>PROPER(Table2[[#This Row],[Gender]])</f>
        <v>Female</v>
      </c>
    </row>
    <row r="129" spans="1:16" x14ac:dyDescent="0.25">
      <c r="A129" s="6" t="s">
        <v>255</v>
      </c>
      <c r="B129" s="7" t="s">
        <v>22</v>
      </c>
      <c r="C129" s="7" t="s">
        <v>26</v>
      </c>
      <c r="D129" s="7" t="s">
        <v>35</v>
      </c>
      <c r="E129" s="7">
        <v>48289</v>
      </c>
      <c r="F129" s="16">
        <v>42138</v>
      </c>
      <c r="G129" s="7">
        <v>3</v>
      </c>
      <c r="H129" s="7" t="s">
        <v>28</v>
      </c>
      <c r="I129" s="8" t="s">
        <v>45</v>
      </c>
      <c r="J129" s="14"/>
      <c r="K129" s="18" t="str">
        <f>LEFT(Table2[[#This Row],[Name]], FIND(" ",Table2[[#This Row],[Name]],2))</f>
        <v xml:space="preserve">Alice </v>
      </c>
      <c r="L129" s="17" t="str">
        <f>RIGHT(Table2[[#This Row],[Employee ID]],4)</f>
        <v>1130</v>
      </c>
      <c r="M129" s="17" t="str">
        <f>MID(Table2[[#This Row],[Salary]],2,3)</f>
        <v>828</v>
      </c>
      <c r="N129" s="17" t="str">
        <f>UPPER(Table2[[#This Row],[Name]])</f>
        <v>ALICE BROWN</v>
      </c>
      <c r="O129" s="17" t="str">
        <f>LOWER(Table2[[#This Row],[Country]])</f>
        <v>india</v>
      </c>
      <c r="P129" s="19" t="str">
        <f>PROPER(Table2[[#This Row],[Gender]])</f>
        <v>Male</v>
      </c>
    </row>
    <row r="130" spans="1:16" x14ac:dyDescent="0.25">
      <c r="A130" s="6" t="s">
        <v>256</v>
      </c>
      <c r="B130" s="7" t="s">
        <v>39</v>
      </c>
      <c r="C130" s="7" t="s">
        <v>42</v>
      </c>
      <c r="D130" s="7" t="s">
        <v>18</v>
      </c>
      <c r="E130" s="7">
        <v>34402</v>
      </c>
      <c r="F130" s="16">
        <v>42139</v>
      </c>
      <c r="G130" s="7">
        <v>3</v>
      </c>
      <c r="H130" s="7" t="s">
        <v>19</v>
      </c>
      <c r="I130" s="8" t="s">
        <v>108</v>
      </c>
      <c r="J130" s="14"/>
      <c r="K130" s="18" t="str">
        <f>LEFT(Table2[[#This Row],[Name]], FIND(" ",Table2[[#This Row],[Name]],2))</f>
        <v xml:space="preserve">Sam </v>
      </c>
      <c r="L130" s="17" t="str">
        <f>RIGHT(Table2[[#This Row],[Employee ID]],4)</f>
        <v>1131</v>
      </c>
      <c r="M130" s="17" t="str">
        <f>MID(Table2[[#This Row],[Salary]],2,3)</f>
        <v>440</v>
      </c>
      <c r="N130" s="17" t="str">
        <f>UPPER(Table2[[#This Row],[Name]])</f>
        <v>SAM WILSON</v>
      </c>
      <c r="O130" s="17" t="str">
        <f>LOWER(Table2[[#This Row],[Country]])</f>
        <v>germany</v>
      </c>
      <c r="P130" s="19" t="str">
        <f>PROPER(Table2[[#This Row],[Gender]])</f>
        <v>Other</v>
      </c>
    </row>
    <row r="131" spans="1:16" x14ac:dyDescent="0.25">
      <c r="A131" s="6" t="s">
        <v>257</v>
      </c>
      <c r="B131" s="7" t="s">
        <v>16</v>
      </c>
      <c r="C131" s="7" t="s">
        <v>17</v>
      </c>
      <c r="D131" s="7" t="s">
        <v>27</v>
      </c>
      <c r="E131" s="7">
        <v>38678</v>
      </c>
      <c r="F131" s="16">
        <v>42140</v>
      </c>
      <c r="G131" s="7">
        <v>3</v>
      </c>
      <c r="H131" s="7" t="s">
        <v>19</v>
      </c>
      <c r="I131" s="8" t="s">
        <v>258</v>
      </c>
      <c r="J131" s="14"/>
      <c r="K131" s="18" t="str">
        <f>LEFT(Table2[[#This Row],[Name]], FIND(" ",Table2[[#This Row],[Name]],2))</f>
        <v xml:space="preserve">Eve </v>
      </c>
      <c r="L131" s="17" t="str">
        <f>RIGHT(Table2[[#This Row],[Employee ID]],4)</f>
        <v>1132</v>
      </c>
      <c r="M131" s="17" t="str">
        <f>MID(Table2[[#This Row],[Salary]],2,3)</f>
        <v>867</v>
      </c>
      <c r="N131" s="17" t="str">
        <f>UPPER(Table2[[#This Row],[Name]])</f>
        <v>EVE ADAMS</v>
      </c>
      <c r="O131" s="17" t="str">
        <f>LOWER(Table2[[#This Row],[Country]])</f>
        <v>usa</v>
      </c>
      <c r="P131" s="19" t="str">
        <f>PROPER(Table2[[#This Row],[Gender]])</f>
        <v>Other</v>
      </c>
    </row>
    <row r="132" spans="1:16" x14ac:dyDescent="0.25">
      <c r="A132" s="6" t="s">
        <v>259</v>
      </c>
      <c r="B132" s="7" t="s">
        <v>41</v>
      </c>
      <c r="C132" s="7" t="s">
        <v>17</v>
      </c>
      <c r="D132" s="7" t="s">
        <v>18</v>
      </c>
      <c r="E132" s="7">
        <v>45758</v>
      </c>
      <c r="F132" s="16">
        <v>42141</v>
      </c>
      <c r="G132" s="7">
        <v>3</v>
      </c>
      <c r="H132" s="7" t="s">
        <v>28</v>
      </c>
      <c r="I132" s="8" t="s">
        <v>225</v>
      </c>
      <c r="J132" s="14"/>
      <c r="K132" s="18" t="str">
        <f>LEFT(Table2[[#This Row],[Name]], FIND(" ",Table2[[#This Row],[Name]],2))</f>
        <v xml:space="preserve">Chris </v>
      </c>
      <c r="L132" s="17" t="str">
        <f>RIGHT(Table2[[#This Row],[Employee ID]],4)</f>
        <v>1133</v>
      </c>
      <c r="M132" s="17" t="str">
        <f>MID(Table2[[#This Row],[Salary]],2,3)</f>
        <v>575</v>
      </c>
      <c r="N132" s="17" t="str">
        <f>UPPER(Table2[[#This Row],[Name]])</f>
        <v>CHRIS LEE</v>
      </c>
      <c r="O132" s="17" t="str">
        <f>LOWER(Table2[[#This Row],[Country]])</f>
        <v>germany</v>
      </c>
      <c r="P132" s="19" t="str">
        <f>PROPER(Table2[[#This Row],[Gender]])</f>
        <v>Male</v>
      </c>
    </row>
    <row r="133" spans="1:16" x14ac:dyDescent="0.25">
      <c r="A133" s="6" t="s">
        <v>260</v>
      </c>
      <c r="B133" s="7" t="s">
        <v>16</v>
      </c>
      <c r="C133" s="7" t="s">
        <v>42</v>
      </c>
      <c r="D133" s="7" t="s">
        <v>35</v>
      </c>
      <c r="E133" s="7">
        <v>62476</v>
      </c>
      <c r="F133" s="16">
        <v>42142</v>
      </c>
      <c r="G133" s="7">
        <v>1</v>
      </c>
      <c r="H133" s="7" t="s">
        <v>19</v>
      </c>
      <c r="I133" s="8" t="s">
        <v>138</v>
      </c>
      <c r="J133" s="14"/>
      <c r="K133" s="18" t="str">
        <f>LEFT(Table2[[#This Row],[Name]], FIND(" ",Table2[[#This Row],[Name]],2))</f>
        <v xml:space="preserve">Eve </v>
      </c>
      <c r="L133" s="17" t="str">
        <f>RIGHT(Table2[[#This Row],[Employee ID]],4)</f>
        <v>1134</v>
      </c>
      <c r="M133" s="17" t="str">
        <f>MID(Table2[[#This Row],[Salary]],2,3)</f>
        <v>247</v>
      </c>
      <c r="N133" s="17" t="str">
        <f>UPPER(Table2[[#This Row],[Name]])</f>
        <v>EVE ADAMS</v>
      </c>
      <c r="O133" s="17" t="str">
        <f>LOWER(Table2[[#This Row],[Country]])</f>
        <v>india</v>
      </c>
      <c r="P133" s="19" t="str">
        <f>PROPER(Table2[[#This Row],[Gender]])</f>
        <v>Other</v>
      </c>
    </row>
    <row r="134" spans="1:16" x14ac:dyDescent="0.25">
      <c r="A134" s="6" t="s">
        <v>261</v>
      </c>
      <c r="B134" s="7" t="s">
        <v>41</v>
      </c>
      <c r="C134" s="7" t="s">
        <v>34</v>
      </c>
      <c r="D134" s="7" t="s">
        <v>47</v>
      </c>
      <c r="E134" s="7">
        <v>39280</v>
      </c>
      <c r="F134" s="16">
        <v>42143</v>
      </c>
      <c r="G134" s="7">
        <v>3</v>
      </c>
      <c r="H134" s="7" t="s">
        <v>36</v>
      </c>
      <c r="I134" s="8" t="s">
        <v>99</v>
      </c>
      <c r="J134" s="14"/>
      <c r="K134" s="18" t="str">
        <f>LEFT(Table2[[#This Row],[Name]], FIND(" ",Table2[[#This Row],[Name]],2))</f>
        <v xml:space="preserve">Chris </v>
      </c>
      <c r="L134" s="17" t="str">
        <f>RIGHT(Table2[[#This Row],[Employee ID]],4)</f>
        <v>1135</v>
      </c>
      <c r="M134" s="17" t="str">
        <f>MID(Table2[[#This Row],[Salary]],2,3)</f>
        <v>928</v>
      </c>
      <c r="N134" s="17" t="str">
        <f>UPPER(Table2[[#This Row],[Name]])</f>
        <v>CHRIS LEE</v>
      </c>
      <c r="O134" s="17" t="str">
        <f>LOWER(Table2[[#This Row],[Country]])</f>
        <v>uk</v>
      </c>
      <c r="P134" s="19" t="str">
        <f>PROPER(Table2[[#This Row],[Gender]])</f>
        <v>Female</v>
      </c>
    </row>
    <row r="135" spans="1:16" x14ac:dyDescent="0.25">
      <c r="A135" s="6" t="s">
        <v>262</v>
      </c>
      <c r="B135" s="7" t="s">
        <v>31</v>
      </c>
      <c r="C135" s="7" t="s">
        <v>10</v>
      </c>
      <c r="D135" s="7" t="s">
        <v>35</v>
      </c>
      <c r="E135" s="7">
        <v>60335</v>
      </c>
      <c r="F135" s="16">
        <v>42144</v>
      </c>
      <c r="G135" s="7">
        <v>4</v>
      </c>
      <c r="H135" s="7" t="s">
        <v>19</v>
      </c>
      <c r="I135" s="8" t="s">
        <v>129</v>
      </c>
      <c r="J135" s="14"/>
      <c r="K135" s="18" t="str">
        <f>LEFT(Table2[[#This Row],[Name]], FIND(" ",Table2[[#This Row],[Name]],2))</f>
        <v xml:space="preserve">Jane </v>
      </c>
      <c r="L135" s="17" t="str">
        <f>RIGHT(Table2[[#This Row],[Employee ID]],4)</f>
        <v>1136</v>
      </c>
      <c r="M135" s="17" t="str">
        <f>MID(Table2[[#This Row],[Salary]],2,3)</f>
        <v>033</v>
      </c>
      <c r="N135" s="17" t="str">
        <f>UPPER(Table2[[#This Row],[Name]])</f>
        <v>JANE SMITH</v>
      </c>
      <c r="O135" s="17" t="str">
        <f>LOWER(Table2[[#This Row],[Country]])</f>
        <v>india</v>
      </c>
      <c r="P135" s="19" t="str">
        <f>PROPER(Table2[[#This Row],[Gender]])</f>
        <v>Other</v>
      </c>
    </row>
    <row r="136" spans="1:16" x14ac:dyDescent="0.25">
      <c r="A136" s="6" t="s">
        <v>263</v>
      </c>
      <c r="B136" s="7" t="s">
        <v>41</v>
      </c>
      <c r="C136" s="7" t="s">
        <v>17</v>
      </c>
      <c r="D136" s="7" t="s">
        <v>18</v>
      </c>
      <c r="E136" s="7">
        <v>84968</v>
      </c>
      <c r="F136" s="16">
        <v>42145</v>
      </c>
      <c r="G136" s="7">
        <v>5</v>
      </c>
      <c r="H136" s="7" t="s">
        <v>36</v>
      </c>
      <c r="I136" s="8" t="s">
        <v>264</v>
      </c>
      <c r="J136" s="14"/>
      <c r="K136" s="18" t="str">
        <f>LEFT(Table2[[#This Row],[Name]], FIND(" ",Table2[[#This Row],[Name]],2))</f>
        <v xml:space="preserve">Chris </v>
      </c>
      <c r="L136" s="17" t="str">
        <f>RIGHT(Table2[[#This Row],[Employee ID]],4)</f>
        <v>1137</v>
      </c>
      <c r="M136" s="17" t="str">
        <f>MID(Table2[[#This Row],[Salary]],2,3)</f>
        <v>496</v>
      </c>
      <c r="N136" s="17" t="str">
        <f>UPPER(Table2[[#This Row],[Name]])</f>
        <v>CHRIS LEE</v>
      </c>
      <c r="O136" s="17" t="str">
        <f>LOWER(Table2[[#This Row],[Country]])</f>
        <v>germany</v>
      </c>
      <c r="P136" s="19" t="str">
        <f>PROPER(Table2[[#This Row],[Gender]])</f>
        <v>Female</v>
      </c>
    </row>
    <row r="137" spans="1:16" x14ac:dyDescent="0.25">
      <c r="A137" s="6" t="s">
        <v>265</v>
      </c>
      <c r="B137" s="7" t="s">
        <v>41</v>
      </c>
      <c r="C137" s="7" t="s">
        <v>42</v>
      </c>
      <c r="D137" s="7" t="s">
        <v>64</v>
      </c>
      <c r="E137" s="7">
        <v>84750</v>
      </c>
      <c r="F137" s="16">
        <v>42146</v>
      </c>
      <c r="G137" s="7">
        <v>4</v>
      </c>
      <c r="H137" s="7" t="s">
        <v>36</v>
      </c>
      <c r="I137" s="8" t="s">
        <v>60</v>
      </c>
      <c r="J137" s="14"/>
      <c r="K137" s="18" t="str">
        <f>LEFT(Table2[[#This Row],[Name]], FIND(" ",Table2[[#This Row],[Name]],2))</f>
        <v xml:space="preserve">Chris </v>
      </c>
      <c r="L137" s="17" t="str">
        <f>RIGHT(Table2[[#This Row],[Employee ID]],4)</f>
        <v>1138</v>
      </c>
      <c r="M137" s="17" t="str">
        <f>MID(Table2[[#This Row],[Salary]],2,3)</f>
        <v>475</v>
      </c>
      <c r="N137" s="17" t="str">
        <f>UPPER(Table2[[#This Row],[Name]])</f>
        <v>CHRIS LEE</v>
      </c>
      <c r="O137" s="17" t="str">
        <f>LOWER(Table2[[#This Row],[Country]])</f>
        <v>australia</v>
      </c>
      <c r="P137" s="19" t="str">
        <f>PROPER(Table2[[#This Row],[Gender]])</f>
        <v>Female</v>
      </c>
    </row>
    <row r="138" spans="1:16" x14ac:dyDescent="0.25">
      <c r="A138" s="6" t="s">
        <v>266</v>
      </c>
      <c r="B138" s="7" t="s">
        <v>54</v>
      </c>
      <c r="C138" s="7" t="s">
        <v>34</v>
      </c>
      <c r="D138" s="7" t="s">
        <v>35</v>
      </c>
      <c r="E138" s="7">
        <v>73348</v>
      </c>
      <c r="F138" s="16">
        <v>42147</v>
      </c>
      <c r="G138" s="7">
        <v>2</v>
      </c>
      <c r="H138" s="7" t="s">
        <v>28</v>
      </c>
      <c r="I138" s="8" t="s">
        <v>171</v>
      </c>
      <c r="J138" s="14"/>
      <c r="K138" s="18" t="str">
        <f>LEFT(Table2[[#This Row],[Name]], FIND(" ",Table2[[#This Row],[Name]],2))</f>
        <v xml:space="preserve">Bob </v>
      </c>
      <c r="L138" s="17" t="str">
        <f>RIGHT(Table2[[#This Row],[Employee ID]],4)</f>
        <v>1139</v>
      </c>
      <c r="M138" s="17" t="str">
        <f>MID(Table2[[#This Row],[Salary]],2,3)</f>
        <v>334</v>
      </c>
      <c r="N138" s="17" t="str">
        <f>UPPER(Table2[[#This Row],[Name]])</f>
        <v>BOB JOHNSON</v>
      </c>
      <c r="O138" s="17" t="str">
        <f>LOWER(Table2[[#This Row],[Country]])</f>
        <v>india</v>
      </c>
      <c r="P138" s="19" t="str">
        <f>PROPER(Table2[[#This Row],[Gender]])</f>
        <v>Male</v>
      </c>
    </row>
    <row r="139" spans="1:16" x14ac:dyDescent="0.25">
      <c r="A139" s="6" t="s">
        <v>267</v>
      </c>
      <c r="B139" s="7" t="s">
        <v>41</v>
      </c>
      <c r="C139" s="7" t="s">
        <v>26</v>
      </c>
      <c r="D139" s="7" t="s">
        <v>27</v>
      </c>
      <c r="E139" s="7">
        <v>56892</v>
      </c>
      <c r="F139" s="16">
        <v>42148</v>
      </c>
      <c r="G139" s="7">
        <v>4</v>
      </c>
      <c r="H139" s="7" t="s">
        <v>19</v>
      </c>
      <c r="I139" s="8" t="s">
        <v>14</v>
      </c>
      <c r="J139" s="14"/>
      <c r="K139" s="18" t="str">
        <f>LEFT(Table2[[#This Row],[Name]], FIND(" ",Table2[[#This Row],[Name]],2))</f>
        <v xml:space="preserve">Chris </v>
      </c>
      <c r="L139" s="17" t="str">
        <f>RIGHT(Table2[[#This Row],[Employee ID]],4)</f>
        <v>1140</v>
      </c>
      <c r="M139" s="17" t="str">
        <f>MID(Table2[[#This Row],[Salary]],2,3)</f>
        <v>689</v>
      </c>
      <c r="N139" s="17" t="str">
        <f>UPPER(Table2[[#This Row],[Name]])</f>
        <v>CHRIS LEE</v>
      </c>
      <c r="O139" s="17" t="str">
        <f>LOWER(Table2[[#This Row],[Country]])</f>
        <v>usa</v>
      </c>
      <c r="P139" s="19" t="str">
        <f>PROPER(Table2[[#This Row],[Gender]])</f>
        <v>Other</v>
      </c>
    </row>
    <row r="140" spans="1:16" x14ac:dyDescent="0.25">
      <c r="A140" s="6" t="s">
        <v>268</v>
      </c>
      <c r="B140" s="7" t="s">
        <v>31</v>
      </c>
      <c r="C140" s="7" t="s">
        <v>42</v>
      </c>
      <c r="D140" s="7" t="s">
        <v>27</v>
      </c>
      <c r="E140" s="7">
        <v>66882</v>
      </c>
      <c r="F140" s="16">
        <v>42149</v>
      </c>
      <c r="G140" s="7">
        <v>5</v>
      </c>
      <c r="H140" s="7" t="s">
        <v>19</v>
      </c>
      <c r="I140" s="8" t="s">
        <v>85</v>
      </c>
      <c r="J140" s="14"/>
      <c r="K140" s="18" t="str">
        <f>LEFT(Table2[[#This Row],[Name]], FIND(" ",Table2[[#This Row],[Name]],2))</f>
        <v xml:space="preserve">Jane </v>
      </c>
      <c r="L140" s="17" t="str">
        <f>RIGHT(Table2[[#This Row],[Employee ID]],4)</f>
        <v>1141</v>
      </c>
      <c r="M140" s="17" t="str">
        <f>MID(Table2[[#This Row],[Salary]],2,3)</f>
        <v>688</v>
      </c>
      <c r="N140" s="17" t="str">
        <f>UPPER(Table2[[#This Row],[Name]])</f>
        <v>JANE SMITH</v>
      </c>
      <c r="O140" s="17" t="str">
        <f>LOWER(Table2[[#This Row],[Country]])</f>
        <v>usa</v>
      </c>
      <c r="P140" s="19" t="str">
        <f>PROPER(Table2[[#This Row],[Gender]])</f>
        <v>Other</v>
      </c>
    </row>
    <row r="141" spans="1:16" x14ac:dyDescent="0.25">
      <c r="A141" s="6" t="s">
        <v>269</v>
      </c>
      <c r="B141" s="7" t="s">
        <v>22</v>
      </c>
      <c r="C141" s="7" t="s">
        <v>42</v>
      </c>
      <c r="D141" s="7" t="s">
        <v>47</v>
      </c>
      <c r="E141" s="7">
        <v>86775</v>
      </c>
      <c r="F141" s="16">
        <v>42150</v>
      </c>
      <c r="G141" s="7">
        <v>3</v>
      </c>
      <c r="H141" s="7" t="s">
        <v>19</v>
      </c>
      <c r="I141" s="8" t="s">
        <v>95</v>
      </c>
      <c r="J141" s="14"/>
      <c r="K141" s="18" t="str">
        <f>LEFT(Table2[[#This Row],[Name]], FIND(" ",Table2[[#This Row],[Name]],2))</f>
        <v xml:space="preserve">Alice </v>
      </c>
      <c r="L141" s="17" t="str">
        <f>RIGHT(Table2[[#This Row],[Employee ID]],4)</f>
        <v>1142</v>
      </c>
      <c r="M141" s="17" t="str">
        <f>MID(Table2[[#This Row],[Salary]],2,3)</f>
        <v>677</v>
      </c>
      <c r="N141" s="17" t="str">
        <f>UPPER(Table2[[#This Row],[Name]])</f>
        <v>ALICE BROWN</v>
      </c>
      <c r="O141" s="17" t="str">
        <f>LOWER(Table2[[#This Row],[Country]])</f>
        <v>uk</v>
      </c>
      <c r="P141" s="19" t="str">
        <f>PROPER(Table2[[#This Row],[Gender]])</f>
        <v>Other</v>
      </c>
    </row>
    <row r="142" spans="1:16" x14ac:dyDescent="0.25">
      <c r="A142" s="6" t="s">
        <v>270</v>
      </c>
      <c r="B142" s="7" t="s">
        <v>41</v>
      </c>
      <c r="C142" s="7" t="s">
        <v>26</v>
      </c>
      <c r="D142" s="7" t="s">
        <v>47</v>
      </c>
      <c r="E142" s="7">
        <v>91620</v>
      </c>
      <c r="F142" s="16">
        <v>42151</v>
      </c>
      <c r="G142" s="7">
        <v>5</v>
      </c>
      <c r="H142" s="7" t="s">
        <v>36</v>
      </c>
      <c r="I142" s="8" t="s">
        <v>271</v>
      </c>
      <c r="J142" s="14"/>
      <c r="K142" s="18" t="str">
        <f>LEFT(Table2[[#This Row],[Name]], FIND(" ",Table2[[#This Row],[Name]],2))</f>
        <v xml:space="preserve">Chris </v>
      </c>
      <c r="L142" s="17" t="str">
        <f>RIGHT(Table2[[#This Row],[Employee ID]],4)</f>
        <v>1143</v>
      </c>
      <c r="M142" s="17" t="str">
        <f>MID(Table2[[#This Row],[Salary]],2,3)</f>
        <v>162</v>
      </c>
      <c r="N142" s="17" t="str">
        <f>UPPER(Table2[[#This Row],[Name]])</f>
        <v>CHRIS LEE</v>
      </c>
      <c r="O142" s="17" t="str">
        <f>LOWER(Table2[[#This Row],[Country]])</f>
        <v>uk</v>
      </c>
      <c r="P142" s="19" t="str">
        <f>PROPER(Table2[[#This Row],[Gender]])</f>
        <v>Female</v>
      </c>
    </row>
    <row r="143" spans="1:16" x14ac:dyDescent="0.25">
      <c r="A143" s="6" t="s">
        <v>272</v>
      </c>
      <c r="B143" s="7" t="s">
        <v>16</v>
      </c>
      <c r="C143" s="7" t="s">
        <v>34</v>
      </c>
      <c r="D143" s="7" t="s">
        <v>27</v>
      </c>
      <c r="E143" s="7">
        <v>94148</v>
      </c>
      <c r="F143" s="16">
        <v>42152</v>
      </c>
      <c r="G143" s="7">
        <v>2</v>
      </c>
      <c r="H143" s="7" t="s">
        <v>28</v>
      </c>
      <c r="I143" s="8" t="s">
        <v>273</v>
      </c>
      <c r="J143" s="14"/>
      <c r="K143" s="18" t="str">
        <f>LEFT(Table2[[#This Row],[Name]], FIND(" ",Table2[[#This Row],[Name]],2))</f>
        <v xml:space="preserve">Eve </v>
      </c>
      <c r="L143" s="17" t="str">
        <f>RIGHT(Table2[[#This Row],[Employee ID]],4)</f>
        <v>1144</v>
      </c>
      <c r="M143" s="17" t="str">
        <f>MID(Table2[[#This Row],[Salary]],2,3)</f>
        <v>414</v>
      </c>
      <c r="N143" s="17" t="str">
        <f>UPPER(Table2[[#This Row],[Name]])</f>
        <v>EVE ADAMS</v>
      </c>
      <c r="O143" s="17" t="str">
        <f>LOWER(Table2[[#This Row],[Country]])</f>
        <v>usa</v>
      </c>
      <c r="P143" s="19" t="str">
        <f>PROPER(Table2[[#This Row],[Gender]])</f>
        <v>Male</v>
      </c>
    </row>
    <row r="144" spans="1:16" x14ac:dyDescent="0.25">
      <c r="A144" s="6" t="s">
        <v>274</v>
      </c>
      <c r="B144" s="7" t="s">
        <v>39</v>
      </c>
      <c r="C144" s="7" t="s">
        <v>26</v>
      </c>
      <c r="D144" s="7" t="s">
        <v>64</v>
      </c>
      <c r="E144" s="7">
        <v>35627</v>
      </c>
      <c r="F144" s="16">
        <v>42153</v>
      </c>
      <c r="G144" s="7">
        <v>5</v>
      </c>
      <c r="H144" s="7" t="s">
        <v>36</v>
      </c>
      <c r="I144" s="8" t="s">
        <v>258</v>
      </c>
      <c r="J144" s="14"/>
      <c r="K144" s="18" t="str">
        <f>LEFT(Table2[[#This Row],[Name]], FIND(" ",Table2[[#This Row],[Name]],2))</f>
        <v xml:space="preserve">Sam </v>
      </c>
      <c r="L144" s="17" t="str">
        <f>RIGHT(Table2[[#This Row],[Employee ID]],4)</f>
        <v>1145</v>
      </c>
      <c r="M144" s="17" t="str">
        <f>MID(Table2[[#This Row],[Salary]],2,3)</f>
        <v>562</v>
      </c>
      <c r="N144" s="17" t="str">
        <f>UPPER(Table2[[#This Row],[Name]])</f>
        <v>SAM WILSON</v>
      </c>
      <c r="O144" s="17" t="str">
        <f>LOWER(Table2[[#This Row],[Country]])</f>
        <v>australia</v>
      </c>
      <c r="P144" s="19" t="str">
        <f>PROPER(Table2[[#This Row],[Gender]])</f>
        <v>Female</v>
      </c>
    </row>
    <row r="145" spans="1:16" x14ac:dyDescent="0.25">
      <c r="A145" s="6" t="s">
        <v>275</v>
      </c>
      <c r="B145" s="7" t="s">
        <v>25</v>
      </c>
      <c r="C145" s="7" t="s">
        <v>42</v>
      </c>
      <c r="D145" s="7" t="s">
        <v>27</v>
      </c>
      <c r="E145" s="7">
        <v>57141</v>
      </c>
      <c r="F145" s="16">
        <v>42154</v>
      </c>
      <c r="G145" s="7">
        <v>2</v>
      </c>
      <c r="H145" s="7" t="s">
        <v>36</v>
      </c>
      <c r="I145" s="8" t="s">
        <v>264</v>
      </c>
      <c r="J145" s="14"/>
      <c r="K145" s="18" t="str">
        <f>LEFT(Table2[[#This Row],[Name]], FIND(" ",Table2[[#This Row],[Name]],2))</f>
        <v xml:space="preserve">John </v>
      </c>
      <c r="L145" s="17" t="str">
        <f>RIGHT(Table2[[#This Row],[Employee ID]],4)</f>
        <v>1146</v>
      </c>
      <c r="M145" s="17" t="str">
        <f>MID(Table2[[#This Row],[Salary]],2,3)</f>
        <v>714</v>
      </c>
      <c r="N145" s="17" t="str">
        <f>UPPER(Table2[[#This Row],[Name]])</f>
        <v>JOHN DOE</v>
      </c>
      <c r="O145" s="17" t="str">
        <f>LOWER(Table2[[#This Row],[Country]])</f>
        <v>usa</v>
      </c>
      <c r="P145" s="19" t="str">
        <f>PROPER(Table2[[#This Row],[Gender]])</f>
        <v>Female</v>
      </c>
    </row>
    <row r="146" spans="1:16" x14ac:dyDescent="0.25">
      <c r="A146" s="6" t="s">
        <v>276</v>
      </c>
      <c r="B146" s="7" t="s">
        <v>54</v>
      </c>
      <c r="C146" s="7" t="s">
        <v>26</v>
      </c>
      <c r="D146" s="7" t="s">
        <v>64</v>
      </c>
      <c r="E146" s="7">
        <v>65270</v>
      </c>
      <c r="F146" s="16">
        <v>42155</v>
      </c>
      <c r="G146" s="7">
        <v>1</v>
      </c>
      <c r="H146" s="7" t="s">
        <v>28</v>
      </c>
      <c r="I146" s="8" t="s">
        <v>277</v>
      </c>
      <c r="J146" s="14"/>
      <c r="K146" s="18" t="str">
        <f>LEFT(Table2[[#This Row],[Name]], FIND(" ",Table2[[#This Row],[Name]],2))</f>
        <v xml:space="preserve">Bob </v>
      </c>
      <c r="L146" s="17" t="str">
        <f>RIGHT(Table2[[#This Row],[Employee ID]],4)</f>
        <v>1147</v>
      </c>
      <c r="M146" s="17" t="str">
        <f>MID(Table2[[#This Row],[Salary]],2,3)</f>
        <v>527</v>
      </c>
      <c r="N146" s="17" t="str">
        <f>UPPER(Table2[[#This Row],[Name]])</f>
        <v>BOB JOHNSON</v>
      </c>
      <c r="O146" s="17" t="str">
        <f>LOWER(Table2[[#This Row],[Country]])</f>
        <v>australia</v>
      </c>
      <c r="P146" s="19" t="str">
        <f>PROPER(Table2[[#This Row],[Gender]])</f>
        <v>Male</v>
      </c>
    </row>
    <row r="147" spans="1:16" x14ac:dyDescent="0.25">
      <c r="A147" s="6" t="s">
        <v>278</v>
      </c>
      <c r="B147" s="7" t="s">
        <v>54</v>
      </c>
      <c r="C147" s="7" t="s">
        <v>17</v>
      </c>
      <c r="D147" s="7" t="s">
        <v>47</v>
      </c>
      <c r="E147" s="7">
        <v>67335</v>
      </c>
      <c r="F147" s="16">
        <v>42156</v>
      </c>
      <c r="G147" s="7">
        <v>1</v>
      </c>
      <c r="H147" s="7" t="s">
        <v>19</v>
      </c>
      <c r="I147" s="8" t="s">
        <v>144</v>
      </c>
      <c r="J147" s="14"/>
      <c r="K147" s="18" t="str">
        <f>LEFT(Table2[[#This Row],[Name]], FIND(" ",Table2[[#This Row],[Name]],2))</f>
        <v xml:space="preserve">Bob </v>
      </c>
      <c r="L147" s="17" t="str">
        <f>RIGHT(Table2[[#This Row],[Employee ID]],4)</f>
        <v>1148</v>
      </c>
      <c r="M147" s="17" t="str">
        <f>MID(Table2[[#This Row],[Salary]],2,3)</f>
        <v>733</v>
      </c>
      <c r="N147" s="17" t="str">
        <f>UPPER(Table2[[#This Row],[Name]])</f>
        <v>BOB JOHNSON</v>
      </c>
      <c r="O147" s="17" t="str">
        <f>LOWER(Table2[[#This Row],[Country]])</f>
        <v>uk</v>
      </c>
      <c r="P147" s="19" t="str">
        <f>PROPER(Table2[[#This Row],[Gender]])</f>
        <v>Other</v>
      </c>
    </row>
    <row r="148" spans="1:16" x14ac:dyDescent="0.25">
      <c r="A148" s="9" t="s">
        <v>279</v>
      </c>
      <c r="B148" s="10" t="s">
        <v>39</v>
      </c>
      <c r="C148" s="10" t="s">
        <v>42</v>
      </c>
      <c r="D148" s="10" t="s">
        <v>35</v>
      </c>
      <c r="E148" s="10">
        <v>98475</v>
      </c>
      <c r="F148" s="16">
        <v>42157</v>
      </c>
      <c r="G148" s="10">
        <v>5</v>
      </c>
      <c r="H148" s="10" t="s">
        <v>19</v>
      </c>
      <c r="I148" s="11" t="s">
        <v>280</v>
      </c>
      <c r="J148" s="14"/>
      <c r="K148" s="23" t="str">
        <f>LEFT(Table2[[#This Row],[Name]], FIND(" ",Table2[[#This Row],[Name]],2))</f>
        <v xml:space="preserve">Sam </v>
      </c>
      <c r="L148" s="24" t="str">
        <f>RIGHT(Table2[[#This Row],[Employee ID]],4)</f>
        <v>1149</v>
      </c>
      <c r="M148" s="24" t="str">
        <f>MID(Table2[[#This Row],[Salary]],2,3)</f>
        <v>847</v>
      </c>
      <c r="N148" s="24" t="str">
        <f>UPPER(Table2[[#This Row],[Name]])</f>
        <v>SAM WILSON</v>
      </c>
      <c r="O148" s="24" t="str">
        <f>LOWER(Table2[[#This Row],[Country]])</f>
        <v>india</v>
      </c>
      <c r="P148" s="25" t="str">
        <f>PROPER(Table2[[#This Row],[Gender]])</f>
        <v>Other</v>
      </c>
    </row>
  </sheetData>
  <mergeCells count="2">
    <mergeCell ref="E3:F3"/>
    <mergeCell ref="M2:O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1F066-2B2C-4718-8206-E76E444205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</vt:lpstr>
      <vt:lpstr>Text functions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</dc:creator>
  <cp:lastModifiedBy>Malavika S</cp:lastModifiedBy>
  <dcterms:created xsi:type="dcterms:W3CDTF">2025-11-18T09:10:28Z</dcterms:created>
  <dcterms:modified xsi:type="dcterms:W3CDTF">2025-11-24T09:44:46Z</dcterms:modified>
</cp:coreProperties>
</file>